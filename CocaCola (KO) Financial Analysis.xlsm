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ee\Downloads\"/>
    </mc:Choice>
  </mc:AlternateContent>
  <xr:revisionPtr revIDLastSave="0" documentId="13_ncr:1_{EF19D097-9BAE-485E-9D41-225EE5BC26A7}" xr6:coauthVersionLast="47" xr6:coauthVersionMax="47" xr10:uidLastSave="{00000000-0000-0000-0000-000000000000}"/>
  <bookViews>
    <workbookView xWindow="-110" yWindow="-110" windowWidth="19420" windowHeight="11020" firstSheet="5" activeTab="7" xr2:uid="{2A308F6C-1648-478E-88DF-E6837E6DA55C}"/>
  </bookViews>
  <sheets>
    <sheet name="Return, Volatility, VaR &amp; CAPM" sheetId="1" r:id="rId1"/>
    <sheet name="Moving Average Convergence Dive" sheetId="3" r:id="rId2"/>
    <sheet name="Relative Strength Index" sheetId="4" r:id="rId3"/>
    <sheet name="Bollinger Bands " sheetId="5" r:id="rId4"/>
    <sheet name="Stochastic Oscillator" sheetId="6" r:id="rId5"/>
    <sheet name="European Option" sheetId="8" r:id="rId6"/>
    <sheet name="Black-Scholes Model" sheetId="9" r:id="rId7"/>
    <sheet name="Monte Carlo Simulation" sheetId="10" r:id="rId8"/>
    <sheet name="Simulation Data" sheetId="12" r:id="rId9"/>
  </sheets>
  <definedNames>
    <definedName name="_xlnm._FilterDatabase" localSheetId="0" hidden="1">'Return, Volatility, VaR &amp; CAPM'!$B$1:$B$188</definedName>
    <definedName name="_xlchart.v1.0" hidden="1">'Moving Average Convergence Dive'!$H$1</definedName>
    <definedName name="_xlchart.v1.1" hidden="1">'Moving Average Convergence Dive'!$H$2:$H$188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9" l="1"/>
  <c r="B9" i="9" s="1"/>
  <c r="B10" i="9" s="1"/>
  <c r="B5" i="10"/>
  <c r="B3" i="10"/>
  <c r="B7" i="9"/>
  <c r="B5" i="8"/>
  <c r="B7" i="8"/>
  <c r="B12" i="9" l="1"/>
  <c r="B11" i="9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D4" i="6"/>
  <c r="F4" i="6" s="1"/>
  <c r="D5" i="6"/>
  <c r="F5" i="6" s="1"/>
  <c r="D6" i="6"/>
  <c r="F6" i="6" s="1"/>
  <c r="D7" i="6"/>
  <c r="F7" i="6" s="1"/>
  <c r="D8" i="6"/>
  <c r="F8" i="6" s="1"/>
  <c r="D9" i="6"/>
  <c r="F9" i="6" s="1"/>
  <c r="D10" i="6"/>
  <c r="F10" i="6" s="1"/>
  <c r="D11" i="6"/>
  <c r="D12" i="6"/>
  <c r="F12" i="6" s="1"/>
  <c r="D13" i="6"/>
  <c r="F13" i="6" s="1"/>
  <c r="D14" i="6"/>
  <c r="F14" i="6" s="1"/>
  <c r="D15" i="6"/>
  <c r="F15" i="6" s="1"/>
  <c r="D16" i="6"/>
  <c r="F16" i="6" s="1"/>
  <c r="D17" i="6"/>
  <c r="F17" i="6" s="1"/>
  <c r="D18" i="6"/>
  <c r="F18" i="6" s="1"/>
  <c r="D19" i="6"/>
  <c r="D20" i="6"/>
  <c r="F20" i="6" s="1"/>
  <c r="D21" i="6"/>
  <c r="F21" i="6" s="1"/>
  <c r="D22" i="6"/>
  <c r="F22" i="6" s="1"/>
  <c r="D23" i="6"/>
  <c r="F23" i="6" s="1"/>
  <c r="D24" i="6"/>
  <c r="F24" i="6" s="1"/>
  <c r="D25" i="6"/>
  <c r="F25" i="6" s="1"/>
  <c r="D26" i="6"/>
  <c r="F26" i="6" s="1"/>
  <c r="D27" i="6"/>
  <c r="D28" i="6"/>
  <c r="F28" i="6" s="1"/>
  <c r="D29" i="6"/>
  <c r="F29" i="6" s="1"/>
  <c r="D30" i="6"/>
  <c r="F30" i="6" s="1"/>
  <c r="D31" i="6"/>
  <c r="F31" i="6" s="1"/>
  <c r="D32" i="6"/>
  <c r="F32" i="6" s="1"/>
  <c r="D33" i="6"/>
  <c r="F33" i="6" s="1"/>
  <c r="D34" i="6"/>
  <c r="F34" i="6" s="1"/>
  <c r="D35" i="6"/>
  <c r="D36" i="6"/>
  <c r="F36" i="6" s="1"/>
  <c r="D37" i="6"/>
  <c r="F37" i="6" s="1"/>
  <c r="D38" i="6"/>
  <c r="F38" i="6" s="1"/>
  <c r="D39" i="6"/>
  <c r="F39" i="6" s="1"/>
  <c r="D40" i="6"/>
  <c r="F40" i="6" s="1"/>
  <c r="D41" i="6"/>
  <c r="F41" i="6" s="1"/>
  <c r="D42" i="6"/>
  <c r="F42" i="6" s="1"/>
  <c r="D43" i="6"/>
  <c r="D44" i="6"/>
  <c r="F44" i="6" s="1"/>
  <c r="D45" i="6"/>
  <c r="F45" i="6" s="1"/>
  <c r="D46" i="6"/>
  <c r="F46" i="6" s="1"/>
  <c r="D47" i="6"/>
  <c r="F47" i="6" s="1"/>
  <c r="D48" i="6"/>
  <c r="F48" i="6" s="1"/>
  <c r="D49" i="6"/>
  <c r="F49" i="6" s="1"/>
  <c r="D50" i="6"/>
  <c r="F50" i="6" s="1"/>
  <c r="D51" i="6"/>
  <c r="D52" i="6"/>
  <c r="F52" i="6" s="1"/>
  <c r="D53" i="6"/>
  <c r="F53" i="6" s="1"/>
  <c r="D54" i="6"/>
  <c r="F54" i="6" s="1"/>
  <c r="D55" i="6"/>
  <c r="F55" i="6" s="1"/>
  <c r="D56" i="6"/>
  <c r="F56" i="6" s="1"/>
  <c r="D57" i="6"/>
  <c r="F57" i="6" s="1"/>
  <c r="D58" i="6"/>
  <c r="F58" i="6" s="1"/>
  <c r="D59" i="6"/>
  <c r="D60" i="6"/>
  <c r="F60" i="6" s="1"/>
  <c r="D61" i="6"/>
  <c r="F61" i="6" s="1"/>
  <c r="D62" i="6"/>
  <c r="F62" i="6" s="1"/>
  <c r="D63" i="6"/>
  <c r="F63" i="6" s="1"/>
  <c r="D64" i="6"/>
  <c r="F64" i="6" s="1"/>
  <c r="D65" i="6"/>
  <c r="F65" i="6" s="1"/>
  <c r="D66" i="6"/>
  <c r="F66" i="6" s="1"/>
  <c r="D67" i="6"/>
  <c r="D68" i="6"/>
  <c r="F68" i="6" s="1"/>
  <c r="D69" i="6"/>
  <c r="F69" i="6" s="1"/>
  <c r="D70" i="6"/>
  <c r="F70" i="6" s="1"/>
  <c r="D71" i="6"/>
  <c r="F71" i="6" s="1"/>
  <c r="D72" i="6"/>
  <c r="F72" i="6" s="1"/>
  <c r="D73" i="6"/>
  <c r="F73" i="6" s="1"/>
  <c r="D74" i="6"/>
  <c r="F74" i="6" s="1"/>
  <c r="D75" i="6"/>
  <c r="D76" i="6"/>
  <c r="F76" i="6" s="1"/>
  <c r="D77" i="6"/>
  <c r="F77" i="6" s="1"/>
  <c r="D78" i="6"/>
  <c r="F78" i="6" s="1"/>
  <c r="D79" i="6"/>
  <c r="F79" i="6" s="1"/>
  <c r="D80" i="6"/>
  <c r="F80" i="6" s="1"/>
  <c r="D81" i="6"/>
  <c r="F81" i="6" s="1"/>
  <c r="D82" i="6"/>
  <c r="F82" i="6" s="1"/>
  <c r="D83" i="6"/>
  <c r="D84" i="6"/>
  <c r="F84" i="6" s="1"/>
  <c r="D85" i="6"/>
  <c r="F85" i="6" s="1"/>
  <c r="D86" i="6"/>
  <c r="F86" i="6" s="1"/>
  <c r="D87" i="6"/>
  <c r="F87" i="6" s="1"/>
  <c r="D88" i="6"/>
  <c r="F88" i="6" s="1"/>
  <c r="D89" i="6"/>
  <c r="F89" i="6" s="1"/>
  <c r="D90" i="6"/>
  <c r="F90" i="6" s="1"/>
  <c r="D91" i="6"/>
  <c r="D92" i="6"/>
  <c r="F92" i="6" s="1"/>
  <c r="D93" i="6"/>
  <c r="F93" i="6" s="1"/>
  <c r="D94" i="6"/>
  <c r="F94" i="6" s="1"/>
  <c r="D95" i="6"/>
  <c r="F95" i="6" s="1"/>
  <c r="D96" i="6"/>
  <c r="F96" i="6" s="1"/>
  <c r="D97" i="6"/>
  <c r="F97" i="6" s="1"/>
  <c r="D98" i="6"/>
  <c r="F98" i="6" s="1"/>
  <c r="D99" i="6"/>
  <c r="D100" i="6"/>
  <c r="F100" i="6" s="1"/>
  <c r="D101" i="6"/>
  <c r="F101" i="6" s="1"/>
  <c r="D102" i="6"/>
  <c r="F102" i="6" s="1"/>
  <c r="D103" i="6"/>
  <c r="F103" i="6" s="1"/>
  <c r="D104" i="6"/>
  <c r="F104" i="6" s="1"/>
  <c r="D105" i="6"/>
  <c r="F105" i="6" s="1"/>
  <c r="D106" i="6"/>
  <c r="F106" i="6" s="1"/>
  <c r="D107" i="6"/>
  <c r="D108" i="6"/>
  <c r="F108" i="6" s="1"/>
  <c r="D109" i="6"/>
  <c r="F109" i="6" s="1"/>
  <c r="D110" i="6"/>
  <c r="F110" i="6" s="1"/>
  <c r="D111" i="6"/>
  <c r="F111" i="6" s="1"/>
  <c r="D112" i="6"/>
  <c r="F112" i="6" s="1"/>
  <c r="D113" i="6"/>
  <c r="F113" i="6" s="1"/>
  <c r="D114" i="6"/>
  <c r="F114" i="6" s="1"/>
  <c r="D115" i="6"/>
  <c r="D116" i="6"/>
  <c r="F116" i="6" s="1"/>
  <c r="D117" i="6"/>
  <c r="F117" i="6" s="1"/>
  <c r="D118" i="6"/>
  <c r="F118" i="6" s="1"/>
  <c r="D119" i="6"/>
  <c r="F119" i="6" s="1"/>
  <c r="D120" i="6"/>
  <c r="F120" i="6" s="1"/>
  <c r="D121" i="6"/>
  <c r="F121" i="6" s="1"/>
  <c r="D122" i="6"/>
  <c r="F122" i="6" s="1"/>
  <c r="D123" i="6"/>
  <c r="D124" i="6"/>
  <c r="F124" i="6" s="1"/>
  <c r="D125" i="6"/>
  <c r="F125" i="6" s="1"/>
  <c r="D126" i="6"/>
  <c r="F126" i="6" s="1"/>
  <c r="D127" i="6"/>
  <c r="F127" i="6" s="1"/>
  <c r="D128" i="6"/>
  <c r="F128" i="6" s="1"/>
  <c r="D129" i="6"/>
  <c r="F129" i="6" s="1"/>
  <c r="D130" i="6"/>
  <c r="F130" i="6" s="1"/>
  <c r="D131" i="6"/>
  <c r="D132" i="6"/>
  <c r="F132" i="6" s="1"/>
  <c r="D133" i="6"/>
  <c r="F133" i="6" s="1"/>
  <c r="D134" i="6"/>
  <c r="F134" i="6" s="1"/>
  <c r="D135" i="6"/>
  <c r="F135" i="6" s="1"/>
  <c r="D136" i="6"/>
  <c r="F136" i="6" s="1"/>
  <c r="D137" i="6"/>
  <c r="F137" i="6" s="1"/>
  <c r="D138" i="6"/>
  <c r="F138" i="6" s="1"/>
  <c r="D139" i="6"/>
  <c r="D140" i="6"/>
  <c r="F140" i="6" s="1"/>
  <c r="D141" i="6"/>
  <c r="F141" i="6" s="1"/>
  <c r="D142" i="6"/>
  <c r="F142" i="6" s="1"/>
  <c r="D143" i="6"/>
  <c r="F143" i="6" s="1"/>
  <c r="D144" i="6"/>
  <c r="F144" i="6" s="1"/>
  <c r="D145" i="6"/>
  <c r="F145" i="6" s="1"/>
  <c r="D146" i="6"/>
  <c r="F146" i="6" s="1"/>
  <c r="D147" i="6"/>
  <c r="D148" i="6"/>
  <c r="F148" i="6" s="1"/>
  <c r="D149" i="6"/>
  <c r="F149" i="6" s="1"/>
  <c r="D150" i="6"/>
  <c r="F150" i="6" s="1"/>
  <c r="D151" i="6"/>
  <c r="F151" i="6" s="1"/>
  <c r="D152" i="6"/>
  <c r="F152" i="6" s="1"/>
  <c r="D153" i="6"/>
  <c r="F153" i="6" s="1"/>
  <c r="D154" i="6"/>
  <c r="F154" i="6" s="1"/>
  <c r="D155" i="6"/>
  <c r="D156" i="6"/>
  <c r="F156" i="6" s="1"/>
  <c r="D157" i="6"/>
  <c r="F157" i="6" s="1"/>
  <c r="D158" i="6"/>
  <c r="F158" i="6" s="1"/>
  <c r="D159" i="6"/>
  <c r="F159" i="6" s="1"/>
  <c r="D160" i="6"/>
  <c r="F160" i="6" s="1"/>
  <c r="D161" i="6"/>
  <c r="F161" i="6" s="1"/>
  <c r="D162" i="6"/>
  <c r="F162" i="6" s="1"/>
  <c r="D163" i="6"/>
  <c r="D164" i="6"/>
  <c r="F164" i="6" s="1"/>
  <c r="D165" i="6"/>
  <c r="F165" i="6" s="1"/>
  <c r="D166" i="6"/>
  <c r="F166" i="6" s="1"/>
  <c r="D167" i="6"/>
  <c r="F167" i="6" s="1"/>
  <c r="D168" i="6"/>
  <c r="F168" i="6" s="1"/>
  <c r="D169" i="6"/>
  <c r="F169" i="6" s="1"/>
  <c r="D170" i="6"/>
  <c r="F170" i="6" s="1"/>
  <c r="D171" i="6"/>
  <c r="D172" i="6"/>
  <c r="F172" i="6" s="1"/>
  <c r="D173" i="6"/>
  <c r="F173" i="6" s="1"/>
  <c r="D174" i="6"/>
  <c r="F174" i="6" s="1"/>
  <c r="D175" i="6"/>
  <c r="F175" i="6" s="1"/>
  <c r="D176" i="6"/>
  <c r="F176" i="6" s="1"/>
  <c r="D177" i="6"/>
  <c r="F177" i="6" s="1"/>
  <c r="D178" i="6"/>
  <c r="F178" i="6" s="1"/>
  <c r="D179" i="6"/>
  <c r="D180" i="6"/>
  <c r="F180" i="6" s="1"/>
  <c r="D181" i="6"/>
  <c r="F181" i="6" s="1"/>
  <c r="D182" i="6"/>
  <c r="F182" i="6" s="1"/>
  <c r="D183" i="6"/>
  <c r="F183" i="6" s="1"/>
  <c r="D184" i="6"/>
  <c r="F184" i="6" s="1"/>
  <c r="D185" i="6"/>
  <c r="F185" i="6" s="1"/>
  <c r="D186" i="6"/>
  <c r="F186" i="6" s="1"/>
  <c r="D187" i="6"/>
  <c r="D188" i="6"/>
  <c r="E2" i="6"/>
  <c r="D3" i="6"/>
  <c r="D2" i="6"/>
  <c r="F2" i="6" s="1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G2" i="5"/>
  <c r="F2" i="5"/>
  <c r="E2" i="5"/>
  <c r="D2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F29" i="4"/>
  <c r="F30" i="4"/>
  <c r="F37" i="4"/>
  <c r="F45" i="4"/>
  <c r="F69" i="4"/>
  <c r="F77" i="4"/>
  <c r="F78" i="4"/>
  <c r="F85" i="4"/>
  <c r="F117" i="4"/>
  <c r="F125" i="4"/>
  <c r="F126" i="4"/>
  <c r="F157" i="4"/>
  <c r="F158" i="4"/>
  <c r="F165" i="4"/>
  <c r="F173" i="4"/>
  <c r="E36" i="4"/>
  <c r="E68" i="4"/>
  <c r="E108" i="4"/>
  <c r="E140" i="4"/>
  <c r="E164" i="4"/>
  <c r="D3" i="4"/>
  <c r="F3" i="4" s="1"/>
  <c r="D4" i="4"/>
  <c r="F4" i="4" s="1"/>
  <c r="D5" i="4"/>
  <c r="E5" i="4" s="1"/>
  <c r="D6" i="4"/>
  <c r="E6" i="4" s="1"/>
  <c r="D7" i="4"/>
  <c r="F7" i="4" s="1"/>
  <c r="D8" i="4"/>
  <c r="D9" i="4"/>
  <c r="D10" i="4"/>
  <c r="D11" i="4"/>
  <c r="E11" i="4" s="1"/>
  <c r="D12" i="4"/>
  <c r="E12" i="4" s="1"/>
  <c r="D13" i="4"/>
  <c r="E13" i="4" s="1"/>
  <c r="D14" i="4"/>
  <c r="E14" i="4" s="1"/>
  <c r="D15" i="4"/>
  <c r="F15" i="4" s="1"/>
  <c r="D16" i="4"/>
  <c r="D17" i="4"/>
  <c r="D18" i="4"/>
  <c r="D19" i="4"/>
  <c r="F19" i="4" s="1"/>
  <c r="D20" i="4"/>
  <c r="F20" i="4" s="1"/>
  <c r="D21" i="4"/>
  <c r="E21" i="4" s="1"/>
  <c r="D22" i="4"/>
  <c r="E22" i="4" s="1"/>
  <c r="D23" i="4"/>
  <c r="F23" i="4" s="1"/>
  <c r="D24" i="4"/>
  <c r="D25" i="4"/>
  <c r="D26" i="4"/>
  <c r="D27" i="4"/>
  <c r="F27" i="4" s="1"/>
  <c r="D28" i="4"/>
  <c r="F28" i="4" s="1"/>
  <c r="D29" i="4"/>
  <c r="E29" i="4" s="1"/>
  <c r="D30" i="4"/>
  <c r="E30" i="4" s="1"/>
  <c r="D31" i="4"/>
  <c r="F31" i="4" s="1"/>
  <c r="D32" i="4"/>
  <c r="D33" i="4"/>
  <c r="D34" i="4"/>
  <c r="D35" i="4"/>
  <c r="F35" i="4" s="1"/>
  <c r="D36" i="4"/>
  <c r="F36" i="4" s="1"/>
  <c r="D37" i="4"/>
  <c r="E37" i="4" s="1"/>
  <c r="D38" i="4"/>
  <c r="E38" i="4" s="1"/>
  <c r="D39" i="4"/>
  <c r="F39" i="4" s="1"/>
  <c r="D40" i="4"/>
  <c r="D41" i="4"/>
  <c r="D42" i="4"/>
  <c r="D43" i="4"/>
  <c r="E43" i="4" s="1"/>
  <c r="D44" i="4"/>
  <c r="E44" i="4" s="1"/>
  <c r="D45" i="4"/>
  <c r="E45" i="4" s="1"/>
  <c r="D46" i="4"/>
  <c r="E46" i="4" s="1"/>
  <c r="D47" i="4"/>
  <c r="F47" i="4" s="1"/>
  <c r="D48" i="4"/>
  <c r="D49" i="4"/>
  <c r="D50" i="4"/>
  <c r="D51" i="4"/>
  <c r="F51" i="4" s="1"/>
  <c r="D52" i="4"/>
  <c r="F52" i="4" s="1"/>
  <c r="D53" i="4"/>
  <c r="E53" i="4" s="1"/>
  <c r="D54" i="4"/>
  <c r="E54" i="4" s="1"/>
  <c r="D55" i="4"/>
  <c r="F55" i="4" s="1"/>
  <c r="D56" i="4"/>
  <c r="D57" i="4"/>
  <c r="D58" i="4"/>
  <c r="D59" i="4"/>
  <c r="F59" i="4" s="1"/>
  <c r="D60" i="4"/>
  <c r="F60" i="4" s="1"/>
  <c r="D61" i="4"/>
  <c r="E61" i="4" s="1"/>
  <c r="D62" i="4"/>
  <c r="E62" i="4" s="1"/>
  <c r="D63" i="4"/>
  <c r="F63" i="4" s="1"/>
  <c r="D64" i="4"/>
  <c r="D65" i="4"/>
  <c r="D66" i="4"/>
  <c r="D67" i="4"/>
  <c r="F67" i="4" s="1"/>
  <c r="D68" i="4"/>
  <c r="F68" i="4" s="1"/>
  <c r="D69" i="4"/>
  <c r="E69" i="4" s="1"/>
  <c r="D70" i="4"/>
  <c r="E70" i="4" s="1"/>
  <c r="D71" i="4"/>
  <c r="F71" i="4" s="1"/>
  <c r="D72" i="4"/>
  <c r="D73" i="4"/>
  <c r="D74" i="4"/>
  <c r="D75" i="4"/>
  <c r="E75" i="4" s="1"/>
  <c r="D76" i="4"/>
  <c r="E76" i="4" s="1"/>
  <c r="D77" i="4"/>
  <c r="E77" i="4" s="1"/>
  <c r="D78" i="4"/>
  <c r="E78" i="4" s="1"/>
  <c r="D79" i="4"/>
  <c r="F79" i="4" s="1"/>
  <c r="D80" i="4"/>
  <c r="D81" i="4"/>
  <c r="D82" i="4"/>
  <c r="F82" i="4" s="1"/>
  <c r="D83" i="4"/>
  <c r="F83" i="4" s="1"/>
  <c r="D84" i="4"/>
  <c r="F84" i="4" s="1"/>
  <c r="D85" i="4"/>
  <c r="E85" i="4" s="1"/>
  <c r="D86" i="4"/>
  <c r="E86" i="4" s="1"/>
  <c r="D87" i="4"/>
  <c r="F87" i="4" s="1"/>
  <c r="D88" i="4"/>
  <c r="D89" i="4"/>
  <c r="D90" i="4"/>
  <c r="D91" i="4"/>
  <c r="F91" i="4" s="1"/>
  <c r="D92" i="4"/>
  <c r="F92" i="4" s="1"/>
  <c r="D93" i="4"/>
  <c r="E93" i="4" s="1"/>
  <c r="D94" i="4"/>
  <c r="E94" i="4" s="1"/>
  <c r="D95" i="4"/>
  <c r="F95" i="4" s="1"/>
  <c r="D96" i="4"/>
  <c r="D97" i="4"/>
  <c r="D98" i="4"/>
  <c r="F98" i="4" s="1"/>
  <c r="D99" i="4"/>
  <c r="F99" i="4" s="1"/>
  <c r="D100" i="4"/>
  <c r="E100" i="4" s="1"/>
  <c r="D101" i="4"/>
  <c r="E101" i="4" s="1"/>
  <c r="D102" i="4"/>
  <c r="E102" i="4" s="1"/>
  <c r="D103" i="4"/>
  <c r="F103" i="4" s="1"/>
  <c r="D104" i="4"/>
  <c r="D105" i="4"/>
  <c r="D106" i="4"/>
  <c r="F106" i="4" s="1"/>
  <c r="D107" i="4"/>
  <c r="E107" i="4" s="1"/>
  <c r="D108" i="4"/>
  <c r="F108" i="4" s="1"/>
  <c r="D109" i="4"/>
  <c r="E109" i="4" s="1"/>
  <c r="D110" i="4"/>
  <c r="E110" i="4" s="1"/>
  <c r="D111" i="4"/>
  <c r="F111" i="4" s="1"/>
  <c r="D112" i="4"/>
  <c r="D113" i="4"/>
  <c r="D114" i="4"/>
  <c r="F114" i="4" s="1"/>
  <c r="D115" i="4"/>
  <c r="F115" i="4" s="1"/>
  <c r="D116" i="4"/>
  <c r="F116" i="4" s="1"/>
  <c r="D117" i="4"/>
  <c r="E117" i="4" s="1"/>
  <c r="D118" i="4"/>
  <c r="E118" i="4" s="1"/>
  <c r="D119" i="4"/>
  <c r="F119" i="4" s="1"/>
  <c r="D120" i="4"/>
  <c r="D121" i="4"/>
  <c r="D122" i="4"/>
  <c r="F122" i="4" s="1"/>
  <c r="D123" i="4"/>
  <c r="E123" i="4" s="1"/>
  <c r="D124" i="4"/>
  <c r="E124" i="4" s="1"/>
  <c r="D125" i="4"/>
  <c r="E125" i="4" s="1"/>
  <c r="D126" i="4"/>
  <c r="E126" i="4" s="1"/>
  <c r="D127" i="4"/>
  <c r="F127" i="4" s="1"/>
  <c r="D128" i="4"/>
  <c r="D129" i="4"/>
  <c r="D130" i="4"/>
  <c r="F130" i="4" s="1"/>
  <c r="D131" i="4"/>
  <c r="F131" i="4" s="1"/>
  <c r="D132" i="4"/>
  <c r="F132" i="4" s="1"/>
  <c r="D133" i="4"/>
  <c r="E133" i="4" s="1"/>
  <c r="D134" i="4"/>
  <c r="E134" i="4" s="1"/>
  <c r="D135" i="4"/>
  <c r="F135" i="4" s="1"/>
  <c r="D136" i="4"/>
  <c r="D137" i="4"/>
  <c r="D138" i="4"/>
  <c r="F138" i="4" s="1"/>
  <c r="D139" i="4"/>
  <c r="F139" i="4" s="1"/>
  <c r="D140" i="4"/>
  <c r="F140" i="4" s="1"/>
  <c r="D141" i="4"/>
  <c r="E141" i="4" s="1"/>
  <c r="D142" i="4"/>
  <c r="E142" i="4" s="1"/>
  <c r="D143" i="4"/>
  <c r="F143" i="4" s="1"/>
  <c r="D144" i="4"/>
  <c r="D145" i="4"/>
  <c r="D146" i="4"/>
  <c r="F146" i="4" s="1"/>
  <c r="D147" i="4"/>
  <c r="F147" i="4" s="1"/>
  <c r="D148" i="4"/>
  <c r="E148" i="4" s="1"/>
  <c r="D149" i="4"/>
  <c r="E149" i="4" s="1"/>
  <c r="D150" i="4"/>
  <c r="E150" i="4" s="1"/>
  <c r="D151" i="4"/>
  <c r="F151" i="4" s="1"/>
  <c r="D152" i="4"/>
  <c r="D153" i="4"/>
  <c r="D154" i="4"/>
  <c r="F154" i="4" s="1"/>
  <c r="D155" i="4"/>
  <c r="E155" i="4" s="1"/>
  <c r="D156" i="4"/>
  <c r="E156" i="4" s="1"/>
  <c r="D157" i="4"/>
  <c r="E157" i="4" s="1"/>
  <c r="D158" i="4"/>
  <c r="E158" i="4" s="1"/>
  <c r="D159" i="4"/>
  <c r="F159" i="4" s="1"/>
  <c r="D160" i="4"/>
  <c r="D161" i="4"/>
  <c r="D162" i="4"/>
  <c r="F162" i="4" s="1"/>
  <c r="D163" i="4"/>
  <c r="F163" i="4" s="1"/>
  <c r="D164" i="4"/>
  <c r="F164" i="4" s="1"/>
  <c r="D165" i="4"/>
  <c r="E165" i="4" s="1"/>
  <c r="D166" i="4"/>
  <c r="E166" i="4" s="1"/>
  <c r="D167" i="4"/>
  <c r="F167" i="4" s="1"/>
  <c r="D168" i="4"/>
  <c r="D169" i="4"/>
  <c r="D170" i="4"/>
  <c r="F170" i="4" s="1"/>
  <c r="D171" i="4"/>
  <c r="E171" i="4" s="1"/>
  <c r="D172" i="4"/>
  <c r="E172" i="4" s="1"/>
  <c r="D173" i="4"/>
  <c r="E173" i="4" s="1"/>
  <c r="D174" i="4"/>
  <c r="E174" i="4" s="1"/>
  <c r="D175" i="4"/>
  <c r="F175" i="4" s="1"/>
  <c r="D176" i="4"/>
  <c r="D177" i="4"/>
  <c r="D178" i="4"/>
  <c r="F178" i="4" s="1"/>
  <c r="D179" i="4"/>
  <c r="F179" i="4" s="1"/>
  <c r="D180" i="4"/>
  <c r="F180" i="4" s="1"/>
  <c r="D181" i="4"/>
  <c r="E181" i="4" s="1"/>
  <c r="D182" i="4"/>
  <c r="E182" i="4" s="1"/>
  <c r="D183" i="4"/>
  <c r="F183" i="4" s="1"/>
  <c r="D184" i="4"/>
  <c r="D185" i="4"/>
  <c r="D186" i="4"/>
  <c r="F186" i="4" s="1"/>
  <c r="D187" i="4"/>
  <c r="F187" i="4" s="1"/>
  <c r="D2" i="4"/>
  <c r="F2" i="4" s="1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E2" i="3"/>
  <c r="E3" i="3" s="1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E152" i="3" s="1"/>
  <c r="E153" i="3" s="1"/>
  <c r="E154" i="3" s="1"/>
  <c r="E155" i="3" s="1"/>
  <c r="E156" i="3" s="1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E181" i="3" s="1"/>
  <c r="E182" i="3" s="1"/>
  <c r="E183" i="3" s="1"/>
  <c r="E184" i="3" s="1"/>
  <c r="E185" i="3" s="1"/>
  <c r="E186" i="3" s="1"/>
  <c r="E187" i="3" s="1"/>
  <c r="E188" i="3" s="1"/>
  <c r="D2" i="3"/>
  <c r="D3" i="3" s="1"/>
  <c r="D4" i="3" s="1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G90" i="6" l="1"/>
  <c r="G66" i="6"/>
  <c r="G26" i="6"/>
  <c r="G153" i="6"/>
  <c r="G129" i="6"/>
  <c r="G113" i="6"/>
  <c r="F3" i="6"/>
  <c r="G3" i="6" s="1"/>
  <c r="G141" i="6"/>
  <c r="G125" i="6"/>
  <c r="G117" i="6"/>
  <c r="G109" i="6"/>
  <c r="G101" i="6"/>
  <c r="G93" i="6"/>
  <c r="G77" i="6"/>
  <c r="G69" i="6"/>
  <c r="G61" i="6"/>
  <c r="G53" i="6"/>
  <c r="G45" i="6"/>
  <c r="G37" i="6"/>
  <c r="G29" i="6"/>
  <c r="G21" i="6"/>
  <c r="G13" i="6"/>
  <c r="G5" i="6"/>
  <c r="G137" i="6"/>
  <c r="G81" i="6"/>
  <c r="G65" i="6"/>
  <c r="G145" i="6"/>
  <c r="G89" i="6"/>
  <c r="G73" i="6"/>
  <c r="G25" i="6"/>
  <c r="G17" i="6"/>
  <c r="F187" i="6"/>
  <c r="G187" i="6" s="1"/>
  <c r="F179" i="6"/>
  <c r="G177" i="6" s="1"/>
  <c r="F171" i="6"/>
  <c r="G171" i="6" s="1"/>
  <c r="F163" i="6"/>
  <c r="G163" i="6" s="1"/>
  <c r="F155" i="6"/>
  <c r="F147" i="6"/>
  <c r="G146" i="6" s="1"/>
  <c r="F139" i="6"/>
  <c r="F131" i="6"/>
  <c r="G130" i="6" s="1"/>
  <c r="F123" i="6"/>
  <c r="G121" i="6" s="1"/>
  <c r="F115" i="6"/>
  <c r="G114" i="6" s="1"/>
  <c r="F107" i="6"/>
  <c r="G107" i="6" s="1"/>
  <c r="F99" i="6"/>
  <c r="G99" i="6" s="1"/>
  <c r="F91" i="6"/>
  <c r="F83" i="6"/>
  <c r="F75" i="6"/>
  <c r="F67" i="6"/>
  <c r="F59" i="6"/>
  <c r="G58" i="6" s="1"/>
  <c r="F51" i="6"/>
  <c r="G49" i="6" s="1"/>
  <c r="F43" i="6"/>
  <c r="G43" i="6" s="1"/>
  <c r="F35" i="6"/>
  <c r="G35" i="6" s="1"/>
  <c r="F27" i="6"/>
  <c r="F19" i="6"/>
  <c r="G18" i="6" s="1"/>
  <c r="F11" i="6"/>
  <c r="G9" i="6" s="1"/>
  <c r="G160" i="6"/>
  <c r="G136" i="6"/>
  <c r="G120" i="6"/>
  <c r="G96" i="6"/>
  <c r="G80" i="6"/>
  <c r="G64" i="6"/>
  <c r="G48" i="6"/>
  <c r="G32" i="6"/>
  <c r="G16" i="6"/>
  <c r="G183" i="6"/>
  <c r="G175" i="6"/>
  <c r="G167" i="6"/>
  <c r="G159" i="6"/>
  <c r="G151" i="6"/>
  <c r="G143" i="6"/>
  <c r="G135" i="6"/>
  <c r="G127" i="6"/>
  <c r="G119" i="6"/>
  <c r="G111" i="6"/>
  <c r="G103" i="6"/>
  <c r="G95" i="6"/>
  <c r="G87" i="6"/>
  <c r="G79" i="6"/>
  <c r="G71" i="6"/>
  <c r="G63" i="6"/>
  <c r="G55" i="6"/>
  <c r="G47" i="6"/>
  <c r="G39" i="6"/>
  <c r="G31" i="6"/>
  <c r="G23" i="6"/>
  <c r="G15" i="6"/>
  <c r="G7" i="6"/>
  <c r="G182" i="6"/>
  <c r="G174" i="6"/>
  <c r="G166" i="6"/>
  <c r="G158" i="6"/>
  <c r="G150" i="6"/>
  <c r="G142" i="6"/>
  <c r="G134" i="6"/>
  <c r="G126" i="6"/>
  <c r="G118" i="6"/>
  <c r="G110" i="6"/>
  <c r="G102" i="6"/>
  <c r="G94" i="6"/>
  <c r="G86" i="6"/>
  <c r="G78" i="6"/>
  <c r="G70" i="6"/>
  <c r="G62" i="6"/>
  <c r="G54" i="6"/>
  <c r="G46" i="6"/>
  <c r="G38" i="6"/>
  <c r="G30" i="6"/>
  <c r="G22" i="6"/>
  <c r="G14" i="6"/>
  <c r="G6" i="6"/>
  <c r="G184" i="6"/>
  <c r="G168" i="6"/>
  <c r="G144" i="6"/>
  <c r="G128" i="6"/>
  <c r="G104" i="6"/>
  <c r="G88" i="6"/>
  <c r="G72" i="6"/>
  <c r="G56" i="6"/>
  <c r="G24" i="6"/>
  <c r="G8" i="6"/>
  <c r="G2" i="6"/>
  <c r="G181" i="6"/>
  <c r="G173" i="6"/>
  <c r="G165" i="6"/>
  <c r="G157" i="6"/>
  <c r="G149" i="6"/>
  <c r="G133" i="6"/>
  <c r="G85" i="6"/>
  <c r="G154" i="6"/>
  <c r="G180" i="6"/>
  <c r="G172" i="6"/>
  <c r="G164" i="6"/>
  <c r="G156" i="6"/>
  <c r="G148" i="6"/>
  <c r="G140" i="6"/>
  <c r="G132" i="6"/>
  <c r="G124" i="6"/>
  <c r="G116" i="6"/>
  <c r="G108" i="6"/>
  <c r="G100" i="6"/>
  <c r="G92" i="6"/>
  <c r="G84" i="6"/>
  <c r="G76" i="6"/>
  <c r="G68" i="6"/>
  <c r="G60" i="6"/>
  <c r="G52" i="6"/>
  <c r="G44" i="6"/>
  <c r="G36" i="6"/>
  <c r="G28" i="6"/>
  <c r="G20" i="6"/>
  <c r="G12" i="6"/>
  <c r="G4" i="6"/>
  <c r="G82" i="6"/>
  <c r="G176" i="6"/>
  <c r="G152" i="6"/>
  <c r="G112" i="6"/>
  <c r="G40" i="6"/>
  <c r="G179" i="6"/>
  <c r="G155" i="6"/>
  <c r="G147" i="6"/>
  <c r="G139" i="6"/>
  <c r="G131" i="6"/>
  <c r="G123" i="6"/>
  <c r="G115" i="6"/>
  <c r="G91" i="6"/>
  <c r="G83" i="6"/>
  <c r="G75" i="6"/>
  <c r="G67" i="6"/>
  <c r="G59" i="6"/>
  <c r="G51" i="6"/>
  <c r="G27" i="6"/>
  <c r="G19" i="6"/>
  <c r="G11" i="6"/>
  <c r="G138" i="6"/>
  <c r="G74" i="6"/>
  <c r="G10" i="6"/>
  <c r="D5" i="3"/>
  <c r="F4" i="3"/>
  <c r="F3" i="3"/>
  <c r="F2" i="3"/>
  <c r="F110" i="4"/>
  <c r="F149" i="4"/>
  <c r="F109" i="4"/>
  <c r="F21" i="4"/>
  <c r="E4" i="4"/>
  <c r="F142" i="4"/>
  <c r="F101" i="4"/>
  <c r="F14" i="4"/>
  <c r="F181" i="4"/>
  <c r="F141" i="4"/>
  <c r="F94" i="4"/>
  <c r="F53" i="4"/>
  <c r="F13" i="4"/>
  <c r="F62" i="4"/>
  <c r="F61" i="4"/>
  <c r="E2" i="4"/>
  <c r="F174" i="4"/>
  <c r="F133" i="4"/>
  <c r="F93" i="4"/>
  <c r="F46" i="4"/>
  <c r="F5" i="4"/>
  <c r="E147" i="4"/>
  <c r="E99" i="4"/>
  <c r="E122" i="4"/>
  <c r="E98" i="4"/>
  <c r="E67" i="4"/>
  <c r="E35" i="4"/>
  <c r="E3" i="4"/>
  <c r="E187" i="4"/>
  <c r="E163" i="4"/>
  <c r="E139" i="4"/>
  <c r="E116" i="4"/>
  <c r="E92" i="4"/>
  <c r="E60" i="4"/>
  <c r="E28" i="4"/>
  <c r="F172" i="4"/>
  <c r="F156" i="4"/>
  <c r="F124" i="4"/>
  <c r="F76" i="4"/>
  <c r="F44" i="4"/>
  <c r="F12" i="4"/>
  <c r="E186" i="4"/>
  <c r="E162" i="4"/>
  <c r="E138" i="4"/>
  <c r="E115" i="4"/>
  <c r="E91" i="4"/>
  <c r="E59" i="4"/>
  <c r="E27" i="4"/>
  <c r="F171" i="4"/>
  <c r="F155" i="4"/>
  <c r="F123" i="4"/>
  <c r="F107" i="4"/>
  <c r="F75" i="4"/>
  <c r="F43" i="4"/>
  <c r="F11" i="4"/>
  <c r="E180" i="4"/>
  <c r="E132" i="4"/>
  <c r="E114" i="4"/>
  <c r="E84" i="4"/>
  <c r="E52" i="4"/>
  <c r="E20" i="4"/>
  <c r="F182" i="4"/>
  <c r="F166" i="4"/>
  <c r="F150" i="4"/>
  <c r="F134" i="4"/>
  <c r="F118" i="4"/>
  <c r="F102" i="4"/>
  <c r="F86" i="4"/>
  <c r="F70" i="4"/>
  <c r="F54" i="4"/>
  <c r="F38" i="4"/>
  <c r="F22" i="4"/>
  <c r="F6" i="4"/>
  <c r="E178" i="4"/>
  <c r="E154" i="4"/>
  <c r="E130" i="4"/>
  <c r="F148" i="4"/>
  <c r="F100" i="4"/>
  <c r="E179" i="4"/>
  <c r="E131" i="4"/>
  <c r="E83" i="4"/>
  <c r="E51" i="4"/>
  <c r="E19" i="4"/>
  <c r="F90" i="4"/>
  <c r="E90" i="4"/>
  <c r="F74" i="4"/>
  <c r="E74" i="4"/>
  <c r="F66" i="4"/>
  <c r="E66" i="4"/>
  <c r="F58" i="4"/>
  <c r="E58" i="4"/>
  <c r="F50" i="4"/>
  <c r="E50" i="4"/>
  <c r="F42" i="4"/>
  <c r="E42" i="4"/>
  <c r="F34" i="4"/>
  <c r="E34" i="4"/>
  <c r="F26" i="4"/>
  <c r="E26" i="4"/>
  <c r="F18" i="4"/>
  <c r="E18" i="4"/>
  <c r="F10" i="4"/>
  <c r="E10" i="4"/>
  <c r="E170" i="4"/>
  <c r="E106" i="4"/>
  <c r="E82" i="4"/>
  <c r="E185" i="4"/>
  <c r="F185" i="4"/>
  <c r="F177" i="4"/>
  <c r="E177" i="4"/>
  <c r="E169" i="4"/>
  <c r="F169" i="4"/>
  <c r="F161" i="4"/>
  <c r="E161" i="4"/>
  <c r="E153" i="4"/>
  <c r="F153" i="4"/>
  <c r="F145" i="4"/>
  <c r="E145" i="4"/>
  <c r="E137" i="4"/>
  <c r="F137" i="4"/>
  <c r="F129" i="4"/>
  <c r="E129" i="4"/>
  <c r="E121" i="4"/>
  <c r="F121" i="4"/>
  <c r="F113" i="4"/>
  <c r="E113" i="4"/>
  <c r="E105" i="4"/>
  <c r="F105" i="4"/>
  <c r="F97" i="4"/>
  <c r="E97" i="4"/>
  <c r="E89" i="4"/>
  <c r="F89" i="4"/>
  <c r="F81" i="4"/>
  <c r="E81" i="4"/>
  <c r="E73" i="4"/>
  <c r="F73" i="4"/>
  <c r="F65" i="4"/>
  <c r="E65" i="4"/>
  <c r="E57" i="4"/>
  <c r="F57" i="4"/>
  <c r="F49" i="4"/>
  <c r="E49" i="4"/>
  <c r="E41" i="4"/>
  <c r="F41" i="4"/>
  <c r="F33" i="4"/>
  <c r="E33" i="4"/>
  <c r="E25" i="4"/>
  <c r="F25" i="4"/>
  <c r="E17" i="4"/>
  <c r="F17" i="4"/>
  <c r="F9" i="4"/>
  <c r="E9" i="4"/>
  <c r="E146" i="4"/>
  <c r="F184" i="4"/>
  <c r="E184" i="4"/>
  <c r="F176" i="4"/>
  <c r="E176" i="4"/>
  <c r="E168" i="4"/>
  <c r="F168" i="4"/>
  <c r="F160" i="4"/>
  <c r="E160" i="4"/>
  <c r="E152" i="4"/>
  <c r="F152" i="4"/>
  <c r="F144" i="4"/>
  <c r="E144" i="4"/>
  <c r="E136" i="4"/>
  <c r="F136" i="4"/>
  <c r="F128" i="4"/>
  <c r="E128" i="4"/>
  <c r="E120" i="4"/>
  <c r="F120" i="4"/>
  <c r="F112" i="4"/>
  <c r="E112" i="4"/>
  <c r="F104" i="4"/>
  <c r="E104" i="4"/>
  <c r="E96" i="4"/>
  <c r="F96" i="4"/>
  <c r="F88" i="4"/>
  <c r="E88" i="4"/>
  <c r="E80" i="4"/>
  <c r="F80" i="4"/>
  <c r="F72" i="4"/>
  <c r="E72" i="4"/>
  <c r="F64" i="4"/>
  <c r="E64" i="4"/>
  <c r="E56" i="4"/>
  <c r="F56" i="4"/>
  <c r="F48" i="4"/>
  <c r="E48" i="4"/>
  <c r="E40" i="4"/>
  <c r="F40" i="4"/>
  <c r="F32" i="4"/>
  <c r="E32" i="4"/>
  <c r="F24" i="4"/>
  <c r="E24" i="4"/>
  <c r="E16" i="4"/>
  <c r="F16" i="4"/>
  <c r="F8" i="4"/>
  <c r="E8" i="4"/>
  <c r="E183" i="4"/>
  <c r="E175" i="4"/>
  <c r="E167" i="4"/>
  <c r="E159" i="4"/>
  <c r="E151" i="4"/>
  <c r="E143" i="4"/>
  <c r="E135" i="4"/>
  <c r="E127" i="4"/>
  <c r="E119" i="4"/>
  <c r="E111" i="4"/>
  <c r="E103" i="4"/>
  <c r="E95" i="4"/>
  <c r="E87" i="4"/>
  <c r="E79" i="4"/>
  <c r="E71" i="4"/>
  <c r="E63" i="4"/>
  <c r="E55" i="4"/>
  <c r="E47" i="4"/>
  <c r="E39" i="4"/>
  <c r="E31" i="4"/>
  <c r="E23" i="4"/>
  <c r="E15" i="4"/>
  <c r="E7" i="4"/>
  <c r="G34" i="6" l="1"/>
  <c r="G106" i="6"/>
  <c r="G105" i="6"/>
  <c r="G162" i="6"/>
  <c r="G170" i="6"/>
  <c r="G122" i="6"/>
  <c r="G161" i="6"/>
  <c r="G169" i="6"/>
  <c r="G42" i="6"/>
  <c r="G41" i="6"/>
  <c r="G185" i="6"/>
  <c r="G50" i="6"/>
  <c r="G178" i="6"/>
  <c r="G33" i="6"/>
  <c r="G97" i="6"/>
  <c r="G98" i="6"/>
  <c r="G57" i="6"/>
  <c r="G186" i="6"/>
  <c r="D6" i="3"/>
  <c r="F5" i="3"/>
  <c r="G2" i="4"/>
  <c r="H2" i="4"/>
  <c r="D7" i="3" l="1"/>
  <c r="F6" i="3"/>
  <c r="I2" i="4"/>
  <c r="J2" i="4" s="1"/>
  <c r="D8" i="3" l="1"/>
  <c r="F7" i="3"/>
  <c r="D9" i="3" l="1"/>
  <c r="F8" i="3"/>
  <c r="D10" i="3" l="1"/>
  <c r="F9" i="3"/>
  <c r="D11" i="3" l="1"/>
  <c r="F10" i="3"/>
  <c r="D12" i="3" l="1"/>
  <c r="F11" i="3"/>
  <c r="G2" i="3"/>
  <c r="D13" i="3" l="1"/>
  <c r="F12" i="3"/>
  <c r="G3" i="3"/>
  <c r="H2" i="3"/>
  <c r="H3" i="3" l="1"/>
  <c r="G4" i="3"/>
  <c r="D14" i="3"/>
  <c r="F13" i="3"/>
  <c r="D15" i="3" l="1"/>
  <c r="F14" i="3"/>
  <c r="H4" i="3"/>
  <c r="G5" i="3"/>
  <c r="G6" i="3" l="1"/>
  <c r="H5" i="3"/>
  <c r="D16" i="3"/>
  <c r="F15" i="3"/>
  <c r="D17" i="3" l="1"/>
  <c r="F16" i="3"/>
  <c r="G7" i="3"/>
  <c r="H6" i="3"/>
  <c r="G8" i="3" l="1"/>
  <c r="H7" i="3"/>
  <c r="D18" i="3"/>
  <c r="F17" i="3"/>
  <c r="D19" i="3" l="1"/>
  <c r="F18" i="3"/>
  <c r="G9" i="3"/>
  <c r="H8" i="3"/>
  <c r="G10" i="3" l="1"/>
  <c r="H9" i="3"/>
  <c r="D20" i="3"/>
  <c r="F19" i="3"/>
  <c r="G11" i="3" l="1"/>
  <c r="H10" i="3"/>
  <c r="D21" i="3"/>
  <c r="F20" i="3"/>
  <c r="G12" i="3" l="1"/>
  <c r="H11" i="3"/>
  <c r="D22" i="3"/>
  <c r="F21" i="3"/>
  <c r="G13" i="3" l="1"/>
  <c r="H12" i="3"/>
  <c r="D23" i="3"/>
  <c r="F22" i="3"/>
  <c r="D24" i="3" l="1"/>
  <c r="F23" i="3"/>
  <c r="G14" i="3"/>
  <c r="H13" i="3"/>
  <c r="G15" i="3" l="1"/>
  <c r="H14" i="3"/>
  <c r="D25" i="3"/>
  <c r="F24" i="3"/>
  <c r="D26" i="3" l="1"/>
  <c r="F25" i="3"/>
  <c r="G16" i="3"/>
  <c r="H15" i="3"/>
  <c r="G17" i="3" l="1"/>
  <c r="H16" i="3"/>
  <c r="D27" i="3"/>
  <c r="F26" i="3"/>
  <c r="G18" i="3" l="1"/>
  <c r="H17" i="3"/>
  <c r="D28" i="3"/>
  <c r="F27" i="3"/>
  <c r="G19" i="3" l="1"/>
  <c r="H18" i="3"/>
  <c r="D29" i="3"/>
  <c r="F28" i="3"/>
  <c r="G20" i="3" l="1"/>
  <c r="H19" i="3"/>
  <c r="D30" i="3"/>
  <c r="F29" i="3"/>
  <c r="D31" i="3" l="1"/>
  <c r="F30" i="3"/>
  <c r="G21" i="3"/>
  <c r="H20" i="3"/>
  <c r="D32" i="3" l="1"/>
  <c r="F31" i="3"/>
  <c r="G22" i="3"/>
  <c r="H21" i="3"/>
  <c r="G23" i="3" l="1"/>
  <c r="H22" i="3"/>
  <c r="D33" i="3"/>
  <c r="F32" i="3"/>
  <c r="D34" i="3" l="1"/>
  <c r="F33" i="3"/>
  <c r="G24" i="3"/>
  <c r="H23" i="3"/>
  <c r="G25" i="3" l="1"/>
  <c r="H24" i="3"/>
  <c r="D35" i="3"/>
  <c r="F34" i="3"/>
  <c r="D36" i="3" l="1"/>
  <c r="F35" i="3"/>
  <c r="G26" i="3"/>
  <c r="H25" i="3"/>
  <c r="G27" i="3" l="1"/>
  <c r="H26" i="3"/>
  <c r="D37" i="3"/>
  <c r="F36" i="3"/>
  <c r="D38" i="3" l="1"/>
  <c r="F37" i="3"/>
  <c r="G28" i="3"/>
  <c r="H27" i="3"/>
  <c r="D39" i="3" l="1"/>
  <c r="F38" i="3"/>
  <c r="G29" i="3"/>
  <c r="H28" i="3"/>
  <c r="G30" i="3" l="1"/>
  <c r="H29" i="3"/>
  <c r="D40" i="3"/>
  <c r="F39" i="3"/>
  <c r="D41" i="3" l="1"/>
  <c r="F40" i="3"/>
  <c r="G31" i="3"/>
  <c r="H30" i="3"/>
  <c r="G32" i="3" l="1"/>
  <c r="H31" i="3"/>
  <c r="D42" i="3"/>
  <c r="F41" i="3"/>
  <c r="D43" i="3" l="1"/>
  <c r="F42" i="3"/>
  <c r="G33" i="3"/>
  <c r="H32" i="3"/>
  <c r="G34" i="3" l="1"/>
  <c r="H33" i="3"/>
  <c r="D44" i="3"/>
  <c r="F43" i="3"/>
  <c r="D45" i="3" l="1"/>
  <c r="F44" i="3"/>
  <c r="G35" i="3"/>
  <c r="H34" i="3"/>
  <c r="D46" i="3" l="1"/>
  <c r="F45" i="3"/>
  <c r="G36" i="3"/>
  <c r="H35" i="3"/>
  <c r="G37" i="3" l="1"/>
  <c r="H36" i="3"/>
  <c r="D47" i="3"/>
  <c r="F46" i="3"/>
  <c r="D48" i="3" l="1"/>
  <c r="F47" i="3"/>
  <c r="G38" i="3"/>
  <c r="H37" i="3"/>
  <c r="G39" i="3" l="1"/>
  <c r="H38" i="3"/>
  <c r="D49" i="3"/>
  <c r="F48" i="3"/>
  <c r="G40" i="3" l="1"/>
  <c r="H39" i="3"/>
  <c r="D50" i="3"/>
  <c r="F49" i="3"/>
  <c r="D51" i="3" l="1"/>
  <c r="F50" i="3"/>
  <c r="G41" i="3"/>
  <c r="H40" i="3"/>
  <c r="G42" i="3" l="1"/>
  <c r="H41" i="3"/>
  <c r="D52" i="3"/>
  <c r="F51" i="3"/>
  <c r="D53" i="3" l="1"/>
  <c r="F52" i="3"/>
  <c r="G43" i="3"/>
  <c r="H42" i="3"/>
  <c r="D54" i="3" l="1"/>
  <c r="F53" i="3"/>
  <c r="G44" i="3"/>
  <c r="H43" i="3"/>
  <c r="D55" i="3" l="1"/>
  <c r="F54" i="3"/>
  <c r="G45" i="3"/>
  <c r="H44" i="3"/>
  <c r="G46" i="3" l="1"/>
  <c r="H45" i="3"/>
  <c r="D56" i="3"/>
  <c r="F55" i="3"/>
  <c r="D57" i="3" l="1"/>
  <c r="F56" i="3"/>
  <c r="G47" i="3"/>
  <c r="H46" i="3"/>
  <c r="G48" i="3" l="1"/>
  <c r="H47" i="3"/>
  <c r="D58" i="3"/>
  <c r="F57" i="3"/>
  <c r="D59" i="3" l="1"/>
  <c r="F58" i="3"/>
  <c r="G49" i="3"/>
  <c r="H48" i="3"/>
  <c r="D60" i="3" l="1"/>
  <c r="F59" i="3"/>
  <c r="G50" i="3"/>
  <c r="H49" i="3"/>
  <c r="G51" i="3" l="1"/>
  <c r="H50" i="3"/>
  <c r="D61" i="3"/>
  <c r="F60" i="3"/>
  <c r="D62" i="3" l="1"/>
  <c r="F61" i="3"/>
  <c r="G52" i="3"/>
  <c r="H51" i="3"/>
  <c r="G53" i="3" l="1"/>
  <c r="H52" i="3"/>
  <c r="D63" i="3"/>
  <c r="F62" i="3"/>
  <c r="D64" i="3" l="1"/>
  <c r="F63" i="3"/>
  <c r="G54" i="3"/>
  <c r="H53" i="3"/>
  <c r="G55" i="3" l="1"/>
  <c r="H54" i="3"/>
  <c r="D65" i="3"/>
  <c r="F64" i="3"/>
  <c r="D66" i="3" l="1"/>
  <c r="F65" i="3"/>
  <c r="G56" i="3"/>
  <c r="H55" i="3"/>
  <c r="G57" i="3" l="1"/>
  <c r="H56" i="3"/>
  <c r="D67" i="3"/>
  <c r="F66" i="3"/>
  <c r="G58" i="3" l="1"/>
  <c r="H57" i="3"/>
  <c r="D68" i="3"/>
  <c r="F67" i="3"/>
  <c r="D69" i="3" l="1"/>
  <c r="F68" i="3"/>
  <c r="G59" i="3"/>
  <c r="H58" i="3"/>
  <c r="D70" i="3" l="1"/>
  <c r="F69" i="3"/>
  <c r="G60" i="3"/>
  <c r="H59" i="3"/>
  <c r="G61" i="3" l="1"/>
  <c r="H60" i="3"/>
  <c r="D71" i="3"/>
  <c r="F70" i="3"/>
  <c r="D72" i="3" l="1"/>
  <c r="F71" i="3"/>
  <c r="G62" i="3"/>
  <c r="H61" i="3"/>
  <c r="D73" i="3" l="1"/>
  <c r="F72" i="3"/>
  <c r="G63" i="3"/>
  <c r="H62" i="3"/>
  <c r="G64" i="3" l="1"/>
  <c r="H63" i="3"/>
  <c r="D74" i="3"/>
  <c r="F73" i="3"/>
  <c r="G65" i="3" l="1"/>
  <c r="H64" i="3"/>
  <c r="D75" i="3"/>
  <c r="F74" i="3"/>
  <c r="D76" i="3" l="1"/>
  <c r="F75" i="3"/>
  <c r="G66" i="3"/>
  <c r="H65" i="3"/>
  <c r="G67" i="3" l="1"/>
  <c r="H66" i="3"/>
  <c r="D77" i="3"/>
  <c r="F76" i="3"/>
  <c r="D78" i="3" l="1"/>
  <c r="F77" i="3"/>
  <c r="G68" i="3"/>
  <c r="H67" i="3"/>
  <c r="G69" i="3" l="1"/>
  <c r="H68" i="3"/>
  <c r="D79" i="3"/>
  <c r="F78" i="3"/>
  <c r="D80" i="3" l="1"/>
  <c r="F79" i="3"/>
  <c r="G70" i="3"/>
  <c r="H69" i="3"/>
  <c r="D81" i="3" l="1"/>
  <c r="F80" i="3"/>
  <c r="G71" i="3"/>
  <c r="H70" i="3"/>
  <c r="D82" i="3" l="1"/>
  <c r="F81" i="3"/>
  <c r="G72" i="3"/>
  <c r="H71" i="3"/>
  <c r="G73" i="3" l="1"/>
  <c r="H72" i="3"/>
  <c r="D83" i="3"/>
  <c r="F82" i="3"/>
  <c r="D84" i="3" l="1"/>
  <c r="F83" i="3"/>
  <c r="G74" i="3"/>
  <c r="H73" i="3"/>
  <c r="G75" i="3" l="1"/>
  <c r="H74" i="3"/>
  <c r="D85" i="3"/>
  <c r="F84" i="3"/>
  <c r="G76" i="3" l="1"/>
  <c r="H75" i="3"/>
  <c r="D86" i="3"/>
  <c r="F85" i="3"/>
  <c r="G77" i="3" l="1"/>
  <c r="H76" i="3"/>
  <c r="D87" i="3"/>
  <c r="F86" i="3"/>
  <c r="D88" i="3" l="1"/>
  <c r="F87" i="3"/>
  <c r="G78" i="3"/>
  <c r="H77" i="3"/>
  <c r="G79" i="3" l="1"/>
  <c r="H78" i="3"/>
  <c r="D89" i="3"/>
  <c r="F88" i="3"/>
  <c r="D90" i="3" l="1"/>
  <c r="F89" i="3"/>
  <c r="G80" i="3"/>
  <c r="H79" i="3"/>
  <c r="G81" i="3" l="1"/>
  <c r="H80" i="3"/>
  <c r="D91" i="3"/>
  <c r="F90" i="3"/>
  <c r="G82" i="3" l="1"/>
  <c r="H81" i="3"/>
  <c r="D92" i="3"/>
  <c r="F91" i="3"/>
  <c r="G83" i="3" l="1"/>
  <c r="H82" i="3"/>
  <c r="D93" i="3"/>
  <c r="F92" i="3"/>
  <c r="D94" i="3" l="1"/>
  <c r="F93" i="3"/>
  <c r="G84" i="3"/>
  <c r="H83" i="3"/>
  <c r="G85" i="3" l="1"/>
  <c r="H84" i="3"/>
  <c r="D95" i="3"/>
  <c r="F94" i="3"/>
  <c r="G86" i="3" l="1"/>
  <c r="H85" i="3"/>
  <c r="D96" i="3"/>
  <c r="F95" i="3"/>
  <c r="D97" i="3" l="1"/>
  <c r="F96" i="3"/>
  <c r="G87" i="3"/>
  <c r="H86" i="3"/>
  <c r="G88" i="3" l="1"/>
  <c r="H87" i="3"/>
  <c r="D98" i="3"/>
  <c r="F97" i="3"/>
  <c r="D99" i="3" l="1"/>
  <c r="F98" i="3"/>
  <c r="G89" i="3"/>
  <c r="H88" i="3"/>
  <c r="D100" i="3" l="1"/>
  <c r="F99" i="3"/>
  <c r="G90" i="3"/>
  <c r="H89" i="3"/>
  <c r="G91" i="3" l="1"/>
  <c r="H90" i="3"/>
  <c r="D101" i="3"/>
  <c r="F100" i="3"/>
  <c r="D102" i="3" l="1"/>
  <c r="F101" i="3"/>
  <c r="G92" i="3"/>
  <c r="H91" i="3"/>
  <c r="G93" i="3" l="1"/>
  <c r="H92" i="3"/>
  <c r="D103" i="3"/>
  <c r="F102" i="3"/>
  <c r="D104" i="3" l="1"/>
  <c r="F103" i="3"/>
  <c r="G94" i="3"/>
  <c r="H93" i="3"/>
  <c r="G95" i="3" l="1"/>
  <c r="H94" i="3"/>
  <c r="D105" i="3"/>
  <c r="F104" i="3"/>
  <c r="D106" i="3" l="1"/>
  <c r="F105" i="3"/>
  <c r="G96" i="3"/>
  <c r="H95" i="3"/>
  <c r="D107" i="3" l="1"/>
  <c r="F106" i="3"/>
  <c r="G97" i="3"/>
  <c r="H96" i="3"/>
  <c r="D108" i="3" l="1"/>
  <c r="F107" i="3"/>
  <c r="G98" i="3"/>
  <c r="H97" i="3"/>
  <c r="G99" i="3" l="1"/>
  <c r="H98" i="3"/>
  <c r="D109" i="3"/>
  <c r="F108" i="3"/>
  <c r="D110" i="3" l="1"/>
  <c r="F109" i="3"/>
  <c r="G100" i="3"/>
  <c r="H99" i="3"/>
  <c r="D111" i="3" l="1"/>
  <c r="F110" i="3"/>
  <c r="G101" i="3"/>
  <c r="H100" i="3"/>
  <c r="G102" i="3" l="1"/>
  <c r="H101" i="3"/>
  <c r="D112" i="3"/>
  <c r="F111" i="3"/>
  <c r="D113" i="3" l="1"/>
  <c r="F112" i="3"/>
  <c r="G103" i="3"/>
  <c r="H102" i="3"/>
  <c r="G104" i="3" l="1"/>
  <c r="H103" i="3"/>
  <c r="D114" i="3"/>
  <c r="F113" i="3"/>
  <c r="D115" i="3" l="1"/>
  <c r="F114" i="3"/>
  <c r="G105" i="3"/>
  <c r="H104" i="3"/>
  <c r="D116" i="3" l="1"/>
  <c r="F115" i="3"/>
  <c r="G106" i="3"/>
  <c r="H105" i="3"/>
  <c r="G107" i="3" l="1"/>
  <c r="H106" i="3"/>
  <c r="D117" i="3"/>
  <c r="F116" i="3"/>
  <c r="D118" i="3" l="1"/>
  <c r="F117" i="3"/>
  <c r="G108" i="3"/>
  <c r="H107" i="3"/>
  <c r="D119" i="3" l="1"/>
  <c r="F118" i="3"/>
  <c r="G109" i="3"/>
  <c r="H108" i="3"/>
  <c r="D120" i="3" l="1"/>
  <c r="F119" i="3"/>
  <c r="G110" i="3"/>
  <c r="H109" i="3"/>
  <c r="G111" i="3" l="1"/>
  <c r="H110" i="3"/>
  <c r="D121" i="3"/>
  <c r="F120" i="3"/>
  <c r="D122" i="3" l="1"/>
  <c r="F121" i="3"/>
  <c r="G112" i="3"/>
  <c r="H111" i="3"/>
  <c r="G113" i="3" l="1"/>
  <c r="H112" i="3"/>
  <c r="D123" i="3"/>
  <c r="F122" i="3"/>
  <c r="G114" i="3" l="1"/>
  <c r="H113" i="3"/>
  <c r="D124" i="3"/>
  <c r="F123" i="3"/>
  <c r="D125" i="3" l="1"/>
  <c r="F124" i="3"/>
  <c r="G115" i="3"/>
  <c r="H114" i="3"/>
  <c r="G116" i="3" l="1"/>
  <c r="H115" i="3"/>
  <c r="D126" i="3"/>
  <c r="F125" i="3"/>
  <c r="D127" i="3" l="1"/>
  <c r="F126" i="3"/>
  <c r="G117" i="3"/>
  <c r="H116" i="3"/>
  <c r="G118" i="3" l="1"/>
  <c r="H117" i="3"/>
  <c r="D128" i="3"/>
  <c r="F127" i="3"/>
  <c r="D129" i="3" l="1"/>
  <c r="F128" i="3"/>
  <c r="G119" i="3"/>
  <c r="H118" i="3"/>
  <c r="G120" i="3" l="1"/>
  <c r="H119" i="3"/>
  <c r="D130" i="3"/>
  <c r="F129" i="3"/>
  <c r="D131" i="3" l="1"/>
  <c r="F130" i="3"/>
  <c r="G121" i="3"/>
  <c r="H120" i="3"/>
  <c r="G122" i="3" l="1"/>
  <c r="H121" i="3"/>
  <c r="D132" i="3"/>
  <c r="F131" i="3"/>
  <c r="D133" i="3" l="1"/>
  <c r="F132" i="3"/>
  <c r="G123" i="3"/>
  <c r="H122" i="3"/>
  <c r="G124" i="3" l="1"/>
  <c r="H123" i="3"/>
  <c r="D134" i="3"/>
  <c r="F133" i="3"/>
  <c r="D135" i="3" l="1"/>
  <c r="F134" i="3"/>
  <c r="G125" i="3"/>
  <c r="H124" i="3"/>
  <c r="G126" i="3" l="1"/>
  <c r="H125" i="3"/>
  <c r="D136" i="3"/>
  <c r="F135" i="3"/>
  <c r="D137" i="3" l="1"/>
  <c r="F136" i="3"/>
  <c r="G127" i="3"/>
  <c r="H126" i="3"/>
  <c r="G128" i="3" l="1"/>
  <c r="H127" i="3"/>
  <c r="D138" i="3"/>
  <c r="F137" i="3"/>
  <c r="D139" i="3" l="1"/>
  <c r="F138" i="3"/>
  <c r="G129" i="3"/>
  <c r="H128" i="3"/>
  <c r="D140" i="3" l="1"/>
  <c r="F139" i="3"/>
  <c r="G130" i="3"/>
  <c r="H129" i="3"/>
  <c r="D141" i="3" l="1"/>
  <c r="F140" i="3"/>
  <c r="G131" i="3"/>
  <c r="H130" i="3"/>
  <c r="D142" i="3" l="1"/>
  <c r="F141" i="3"/>
  <c r="G132" i="3"/>
  <c r="H131" i="3"/>
  <c r="G133" i="3" l="1"/>
  <c r="H132" i="3"/>
  <c r="D143" i="3"/>
  <c r="F142" i="3"/>
  <c r="D144" i="3" l="1"/>
  <c r="F143" i="3"/>
  <c r="G134" i="3"/>
  <c r="H133" i="3"/>
  <c r="G135" i="3" l="1"/>
  <c r="H134" i="3"/>
  <c r="D145" i="3"/>
  <c r="F144" i="3"/>
  <c r="G136" i="3" l="1"/>
  <c r="H135" i="3"/>
  <c r="D146" i="3"/>
  <c r="F145" i="3"/>
  <c r="G137" i="3" l="1"/>
  <c r="H136" i="3"/>
  <c r="D147" i="3"/>
  <c r="F146" i="3"/>
  <c r="D148" i="3" l="1"/>
  <c r="F147" i="3"/>
  <c r="G138" i="3"/>
  <c r="H137" i="3"/>
  <c r="D149" i="3" l="1"/>
  <c r="F148" i="3"/>
  <c r="G139" i="3"/>
  <c r="H138" i="3"/>
  <c r="G140" i="3" l="1"/>
  <c r="H139" i="3"/>
  <c r="D150" i="3"/>
  <c r="F149" i="3"/>
  <c r="D151" i="3" l="1"/>
  <c r="F150" i="3"/>
  <c r="G141" i="3"/>
  <c r="H140" i="3"/>
  <c r="D152" i="3" l="1"/>
  <c r="F151" i="3"/>
  <c r="G142" i="3"/>
  <c r="H141" i="3"/>
  <c r="D153" i="3" l="1"/>
  <c r="F152" i="3"/>
  <c r="G143" i="3"/>
  <c r="H142" i="3"/>
  <c r="G144" i="3" l="1"/>
  <c r="H143" i="3"/>
  <c r="D154" i="3"/>
  <c r="F153" i="3"/>
  <c r="D155" i="3" l="1"/>
  <c r="F154" i="3"/>
  <c r="G145" i="3"/>
  <c r="H144" i="3"/>
  <c r="D156" i="3" l="1"/>
  <c r="F155" i="3"/>
  <c r="G146" i="3"/>
  <c r="H145" i="3"/>
  <c r="G147" i="3" l="1"/>
  <c r="H146" i="3"/>
  <c r="D157" i="3"/>
  <c r="F156" i="3"/>
  <c r="D158" i="3" l="1"/>
  <c r="F157" i="3"/>
  <c r="G148" i="3"/>
  <c r="H147" i="3"/>
  <c r="G149" i="3" l="1"/>
  <c r="H148" i="3"/>
  <c r="D159" i="3"/>
  <c r="F158" i="3"/>
  <c r="D160" i="3" l="1"/>
  <c r="F159" i="3"/>
  <c r="G150" i="3"/>
  <c r="H149" i="3"/>
  <c r="D161" i="3" l="1"/>
  <c r="F160" i="3"/>
  <c r="G151" i="3"/>
  <c r="H150" i="3"/>
  <c r="G152" i="3" l="1"/>
  <c r="H151" i="3"/>
  <c r="D162" i="3"/>
  <c r="F161" i="3"/>
  <c r="D163" i="3" l="1"/>
  <c r="F162" i="3"/>
  <c r="G153" i="3"/>
  <c r="H152" i="3"/>
  <c r="D164" i="3" l="1"/>
  <c r="F163" i="3"/>
  <c r="G154" i="3"/>
  <c r="H153" i="3"/>
  <c r="G155" i="3" l="1"/>
  <c r="H154" i="3"/>
  <c r="D165" i="3"/>
  <c r="F164" i="3"/>
  <c r="D166" i="3" l="1"/>
  <c r="F165" i="3"/>
  <c r="G156" i="3"/>
  <c r="H155" i="3"/>
  <c r="D167" i="3" l="1"/>
  <c r="F166" i="3"/>
  <c r="G157" i="3"/>
  <c r="H156" i="3"/>
  <c r="D168" i="3" l="1"/>
  <c r="F167" i="3"/>
  <c r="G158" i="3"/>
  <c r="H157" i="3"/>
  <c r="D169" i="3" l="1"/>
  <c r="F168" i="3"/>
  <c r="G159" i="3"/>
  <c r="H158" i="3"/>
  <c r="G160" i="3" l="1"/>
  <c r="H159" i="3"/>
  <c r="D170" i="3"/>
  <c r="F169" i="3"/>
  <c r="D171" i="3" l="1"/>
  <c r="F170" i="3"/>
  <c r="G161" i="3"/>
  <c r="H160" i="3"/>
  <c r="D172" i="3" l="1"/>
  <c r="F171" i="3"/>
  <c r="G162" i="3"/>
  <c r="H161" i="3"/>
  <c r="G163" i="3" l="1"/>
  <c r="H162" i="3"/>
  <c r="D173" i="3"/>
  <c r="F172" i="3"/>
  <c r="D174" i="3" l="1"/>
  <c r="F173" i="3"/>
  <c r="G164" i="3"/>
  <c r="H163" i="3"/>
  <c r="G165" i="3" l="1"/>
  <c r="H164" i="3"/>
  <c r="D175" i="3"/>
  <c r="F174" i="3"/>
  <c r="D176" i="3" l="1"/>
  <c r="F175" i="3"/>
  <c r="G166" i="3"/>
  <c r="H165" i="3"/>
  <c r="D177" i="3" l="1"/>
  <c r="F176" i="3"/>
  <c r="G167" i="3"/>
  <c r="H166" i="3"/>
  <c r="G168" i="3" l="1"/>
  <c r="H167" i="3"/>
  <c r="D178" i="3"/>
  <c r="F177" i="3"/>
  <c r="D179" i="3" l="1"/>
  <c r="F178" i="3"/>
  <c r="G169" i="3"/>
  <c r="H168" i="3"/>
  <c r="D180" i="3" l="1"/>
  <c r="F179" i="3"/>
  <c r="G170" i="3"/>
  <c r="H169" i="3"/>
  <c r="D181" i="3" l="1"/>
  <c r="F180" i="3"/>
  <c r="G171" i="3"/>
  <c r="H170" i="3"/>
  <c r="G172" i="3" l="1"/>
  <c r="H171" i="3"/>
  <c r="D182" i="3"/>
  <c r="F181" i="3"/>
  <c r="D183" i="3" l="1"/>
  <c r="F182" i="3"/>
  <c r="G173" i="3"/>
  <c r="H172" i="3"/>
  <c r="G174" i="3" l="1"/>
  <c r="H173" i="3"/>
  <c r="D184" i="3"/>
  <c r="F183" i="3"/>
  <c r="D185" i="3" l="1"/>
  <c r="F184" i="3"/>
  <c r="G175" i="3"/>
  <c r="H174" i="3"/>
  <c r="D186" i="3" l="1"/>
  <c r="F185" i="3"/>
  <c r="G176" i="3"/>
  <c r="H175" i="3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2" i="1"/>
  <c r="G177" i="3" l="1"/>
  <c r="H176" i="3"/>
  <c r="D187" i="3"/>
  <c r="F186" i="3"/>
  <c r="H7" i="1"/>
  <c r="H12" i="1" s="1"/>
  <c r="H9" i="1"/>
  <c r="H13" i="1" s="1"/>
  <c r="H5" i="1"/>
  <c r="H8" i="1"/>
  <c r="H10" i="1" s="1"/>
  <c r="H2" i="1"/>
  <c r="H3" i="1"/>
  <c r="H4" i="1"/>
  <c r="D188" i="3" l="1"/>
  <c r="F188" i="3" s="1"/>
  <c r="F187" i="3"/>
  <c r="G178" i="3"/>
  <c r="H177" i="3"/>
  <c r="G179" i="3" l="1"/>
  <c r="H178" i="3"/>
  <c r="G180" i="3" l="1"/>
  <c r="H179" i="3"/>
  <c r="G181" i="3" l="1"/>
  <c r="H180" i="3"/>
  <c r="G182" i="3" l="1"/>
  <c r="H181" i="3"/>
  <c r="G183" i="3" l="1"/>
  <c r="H182" i="3"/>
  <c r="G184" i="3" l="1"/>
  <c r="H183" i="3"/>
  <c r="G185" i="3" l="1"/>
  <c r="H184" i="3"/>
  <c r="G186" i="3" l="1"/>
  <c r="H185" i="3"/>
  <c r="G187" i="3" l="1"/>
  <c r="H186" i="3"/>
  <c r="G188" i="3" l="1"/>
  <c r="H188" i="3" s="1"/>
  <c r="H187" i="3"/>
</calcChain>
</file>

<file path=xl/sharedStrings.xml><?xml version="1.0" encoding="utf-8"?>
<sst xmlns="http://schemas.openxmlformats.org/spreadsheetml/2006/main" count="1032" uniqueCount="255">
  <si>
    <t>Date</t>
  </si>
  <si>
    <t>Adj Close </t>
  </si>
  <si>
    <t>Mar 28, 2025</t>
  </si>
  <si>
    <t>Mar 27, 2025</t>
  </si>
  <si>
    <t>Mar 26, 2025</t>
  </si>
  <si>
    <t>Mar 25, 2025</t>
  </si>
  <si>
    <t>Mar 24, 2025</t>
  </si>
  <si>
    <t>Mar 21, 2025</t>
  </si>
  <si>
    <t>Mar 20, 2025</t>
  </si>
  <si>
    <t>Mar 19, 2025</t>
  </si>
  <si>
    <t>Mar 18, 2025</t>
  </si>
  <si>
    <t>Mar 17, 2025</t>
  </si>
  <si>
    <t>Mar 14, 2025</t>
  </si>
  <si>
    <t>Mar 13, 2025</t>
  </si>
  <si>
    <t>Mar 12, 2025</t>
  </si>
  <si>
    <t>Mar 11, 2025</t>
  </si>
  <si>
    <t>Mar 10, 2025</t>
  </si>
  <si>
    <t>Mar 7, 2025</t>
  </si>
  <si>
    <t>Mar 6, 2025</t>
  </si>
  <si>
    <t>Mar 5, 2025</t>
  </si>
  <si>
    <t>Mar 4, 2025</t>
  </si>
  <si>
    <t>Mar 3, 2025</t>
  </si>
  <si>
    <t>Feb 28, 2025</t>
  </si>
  <si>
    <t>Feb 27, 2025</t>
  </si>
  <si>
    <t>Feb 26, 2025</t>
  </si>
  <si>
    <t>Feb 25, 2025</t>
  </si>
  <si>
    <t>Feb 24, 2025</t>
  </si>
  <si>
    <t>Feb 21, 2025</t>
  </si>
  <si>
    <t>Feb 20, 2025</t>
  </si>
  <si>
    <t>Feb 19, 2025</t>
  </si>
  <si>
    <t>Feb 18, 2025</t>
  </si>
  <si>
    <t>Feb 14, 2025</t>
  </si>
  <si>
    <t>Feb 13, 2025</t>
  </si>
  <si>
    <t>Feb 12, 2025</t>
  </si>
  <si>
    <t>Feb 11, 2025</t>
  </si>
  <si>
    <t>Feb 10, 2025</t>
  </si>
  <si>
    <t>Feb 7, 2025</t>
  </si>
  <si>
    <t>Feb 6, 2025</t>
  </si>
  <si>
    <t>Feb 5, 2025</t>
  </si>
  <si>
    <t>Feb 4, 2025</t>
  </si>
  <si>
    <t>Feb 3, 2025</t>
  </si>
  <si>
    <t>Jan 31, 2025</t>
  </si>
  <si>
    <t>Jan 30, 2025</t>
  </si>
  <si>
    <t>Jan 29, 2025</t>
  </si>
  <si>
    <t>Jan 28, 2025</t>
  </si>
  <si>
    <t>Jan 27, 2025</t>
  </si>
  <si>
    <t>Jan 24, 2025</t>
  </si>
  <si>
    <t>Jan 23, 2025</t>
  </si>
  <si>
    <t>Jan 22, 2025</t>
  </si>
  <si>
    <t>Jan 21, 2025</t>
  </si>
  <si>
    <t>Jan 17, 2025</t>
  </si>
  <si>
    <t>Jan 16, 2025</t>
  </si>
  <si>
    <t>Jan 15, 2025</t>
  </si>
  <si>
    <t>Jan 14, 2025</t>
  </si>
  <si>
    <t>Jan 13, 2025</t>
  </si>
  <si>
    <t>Jan 10, 2025</t>
  </si>
  <si>
    <t>Jan 8, 2025</t>
  </si>
  <si>
    <t>Jan 7, 2025</t>
  </si>
  <si>
    <t>Jan 6, 2025</t>
  </si>
  <si>
    <t>Jan 3, 2025</t>
  </si>
  <si>
    <t>Jan 2, 2025</t>
  </si>
  <si>
    <t>Dec 31, 2024</t>
  </si>
  <si>
    <t>Dec 30, 2024</t>
  </si>
  <si>
    <t>Dec 27, 2024</t>
  </si>
  <si>
    <t>Dec 26, 2024</t>
  </si>
  <si>
    <t>Dec 24, 2024</t>
  </si>
  <si>
    <t>Dec 23, 2024</t>
  </si>
  <si>
    <t>Dec 20, 2024</t>
  </si>
  <si>
    <t>Dec 19, 2024</t>
  </si>
  <si>
    <t>Dec 18, 2024</t>
  </si>
  <si>
    <t>Dec 17, 2024</t>
  </si>
  <si>
    <t>Dec 16, 2024</t>
  </si>
  <si>
    <t>Dec 13, 2024</t>
  </si>
  <si>
    <t>Dec 12, 2024</t>
  </si>
  <si>
    <t>Dec 11, 2024</t>
  </si>
  <si>
    <t>Dec 10, 2024</t>
  </si>
  <si>
    <t>Dec 9, 2024</t>
  </si>
  <si>
    <t>Dec 6, 2024</t>
  </si>
  <si>
    <t>Dec 5, 2024</t>
  </si>
  <si>
    <t>Dec 4, 2024</t>
  </si>
  <si>
    <t>Dec 3, 2024</t>
  </si>
  <si>
    <t>Dec 2, 2024</t>
  </si>
  <si>
    <t>Nov 29, 2024</t>
  </si>
  <si>
    <t>Nov 27, 2024</t>
  </si>
  <si>
    <t>Nov 26, 2024</t>
  </si>
  <si>
    <t>Nov 25, 2024</t>
  </si>
  <si>
    <t>Nov 22, 2024</t>
  </si>
  <si>
    <t>Nov 21, 2024</t>
  </si>
  <si>
    <t>Nov 20, 2024</t>
  </si>
  <si>
    <t>Nov 19, 2024</t>
  </si>
  <si>
    <t>Nov 18, 2024</t>
  </si>
  <si>
    <t>Nov 15, 2024</t>
  </si>
  <si>
    <t>Nov 14, 2024</t>
  </si>
  <si>
    <t>Nov 13, 2024</t>
  </si>
  <si>
    <t>Nov 12, 2024</t>
  </si>
  <si>
    <t>Nov 11, 2024</t>
  </si>
  <si>
    <t>Nov 8, 2024</t>
  </si>
  <si>
    <t>Nov 7, 2024</t>
  </si>
  <si>
    <t>Nov 6, 2024</t>
  </si>
  <si>
    <t>Nov 5, 2024</t>
  </si>
  <si>
    <t>Nov 4, 2024</t>
  </si>
  <si>
    <t>Nov 1, 2024</t>
  </si>
  <si>
    <t>Oct 31, 2024</t>
  </si>
  <si>
    <t>Oct 30, 2024</t>
  </si>
  <si>
    <t>Oct 29, 2024</t>
  </si>
  <si>
    <t>Oct 28, 2024</t>
  </si>
  <si>
    <t>Oct 25, 2024</t>
  </si>
  <si>
    <t>Oct 24, 2024</t>
  </si>
  <si>
    <t>Oct 23, 2024</t>
  </si>
  <si>
    <t>Oct 22, 2024</t>
  </si>
  <si>
    <t>Oct 21, 2024</t>
  </si>
  <si>
    <t>Oct 18, 2024</t>
  </si>
  <si>
    <t>Oct 17, 2024</t>
  </si>
  <si>
    <t>Oct 16, 2024</t>
  </si>
  <si>
    <t>Oct 15, 2024</t>
  </si>
  <si>
    <t>Oct 14, 2024</t>
  </si>
  <si>
    <t>Oct 11, 2024</t>
  </si>
  <si>
    <t>Oct 10, 2024</t>
  </si>
  <si>
    <t>Oct 9, 2024</t>
  </si>
  <si>
    <t>Oct 8, 2024</t>
  </si>
  <si>
    <t>Oct 7, 2024</t>
  </si>
  <si>
    <t>Oct 4, 2024</t>
  </si>
  <si>
    <t>Oct 3, 2024</t>
  </si>
  <si>
    <t>Oct 2, 2024</t>
  </si>
  <si>
    <t>Oct 1, 2024</t>
  </si>
  <si>
    <t>Sep 30, 2024</t>
  </si>
  <si>
    <t>Sep 27, 2024</t>
  </si>
  <si>
    <t>Sep 26, 2024</t>
  </si>
  <si>
    <t>Sep 25, 2024</t>
  </si>
  <si>
    <t>Sep 24, 2024</t>
  </si>
  <si>
    <t>Sep 23, 2024</t>
  </si>
  <si>
    <t>Sep 20, 2024</t>
  </si>
  <si>
    <t>Sep 19, 2024</t>
  </si>
  <si>
    <t>Sep 18, 2024</t>
  </si>
  <si>
    <t>Sep 17, 2024</t>
  </si>
  <si>
    <t>Sep 16, 2024</t>
  </si>
  <si>
    <t>Sep 13, 2024</t>
  </si>
  <si>
    <t>Sep 12, 2024</t>
  </si>
  <si>
    <t>Sep 11, 2024</t>
  </si>
  <si>
    <t>Sep 10, 2024</t>
  </si>
  <si>
    <t>Sep 9, 2024</t>
  </si>
  <si>
    <t>Sep 6, 2024</t>
  </si>
  <si>
    <t>Sep 5, 2024</t>
  </si>
  <si>
    <t>Sep 4, 2024</t>
  </si>
  <si>
    <t>Sep 3, 2024</t>
  </si>
  <si>
    <t>Aug 30, 2024</t>
  </si>
  <si>
    <t>Aug 29, 2024</t>
  </si>
  <si>
    <t>Aug 28, 2024</t>
  </si>
  <si>
    <t>Aug 27, 2024</t>
  </si>
  <si>
    <t>Aug 26, 2024</t>
  </si>
  <si>
    <t>Aug 23, 2024</t>
  </si>
  <si>
    <t>Aug 22, 2024</t>
  </si>
  <si>
    <t>Aug 21, 2024</t>
  </si>
  <si>
    <t>Aug 20, 2024</t>
  </si>
  <si>
    <t>Aug 19, 2024</t>
  </si>
  <si>
    <t>Aug 16, 2024</t>
  </si>
  <si>
    <t>Aug 15, 2024</t>
  </si>
  <si>
    <t>Aug 14, 2024</t>
  </si>
  <si>
    <t>Aug 13, 2024</t>
  </si>
  <si>
    <t>Aug 12, 2024</t>
  </si>
  <si>
    <t>Aug 9, 2024</t>
  </si>
  <si>
    <t>Aug 8, 2024</t>
  </si>
  <si>
    <t>Aug 7, 2024</t>
  </si>
  <si>
    <t>Aug 6, 2024</t>
  </si>
  <si>
    <t>Aug 5, 2024</t>
  </si>
  <si>
    <t>Aug 2, 2024</t>
  </si>
  <si>
    <t>Aug 1, 2024</t>
  </si>
  <si>
    <t>Jul 31, 2024</t>
  </si>
  <si>
    <t>Jul 30, 2024</t>
  </si>
  <si>
    <t>Jul 29, 2024</t>
  </si>
  <si>
    <t>Jul 26, 2024</t>
  </si>
  <si>
    <t>Jul 25, 2024</t>
  </si>
  <si>
    <t>Jul 24, 2024</t>
  </si>
  <si>
    <t>Jul 23, 2024</t>
  </si>
  <si>
    <t>Jul 22, 2024</t>
  </si>
  <si>
    <t>Jul 19, 2024</t>
  </si>
  <si>
    <t>Jul 18, 2024</t>
  </si>
  <si>
    <t>Jul 17, 2024</t>
  </si>
  <si>
    <t>Jul 16, 2024</t>
  </si>
  <si>
    <t>Jul 15, 2024</t>
  </si>
  <si>
    <t>Jul 12, 2024</t>
  </si>
  <si>
    <t>Jul 11, 2024</t>
  </si>
  <si>
    <t>Jul 10, 2024</t>
  </si>
  <si>
    <t>Jul 9, 2024</t>
  </si>
  <si>
    <t>Jul 8, 2024</t>
  </si>
  <si>
    <t>Jul 5, 2024</t>
  </si>
  <si>
    <t>Jul 3, 2024</t>
  </si>
  <si>
    <t>Jul 2, 2024</t>
  </si>
  <si>
    <t>Jul 1, 2024</t>
  </si>
  <si>
    <t>Average Daily Return</t>
  </si>
  <si>
    <t>Annualized Return</t>
  </si>
  <si>
    <t>Annualized Volatility</t>
  </si>
  <si>
    <t>S&amp;P 500</t>
  </si>
  <si>
    <t>CAPM Beta</t>
  </si>
  <si>
    <t>Stock’s daily log returns</t>
  </si>
  <si>
    <t>S&amp;P 500’s daily log returns</t>
  </si>
  <si>
    <t>Standard Deviation of Daily Returns</t>
  </si>
  <si>
    <t>1-Day 95% (VaR)</t>
  </si>
  <si>
    <t>Stock Volatility</t>
  </si>
  <si>
    <t>Covariance (Stock &amp; Market)</t>
  </si>
  <si>
    <t>Market Variance</t>
  </si>
  <si>
    <t>Beta</t>
  </si>
  <si>
    <t>12-day EMA</t>
  </si>
  <si>
    <t>26-day EMA</t>
  </si>
  <si>
    <t>MACD Line</t>
  </si>
  <si>
    <t>MACD Histogram</t>
  </si>
  <si>
    <t>Signal Line</t>
  </si>
  <si>
    <t>Daily Price Change</t>
  </si>
  <si>
    <t>Daily Gain</t>
  </si>
  <si>
    <t>Daily Loss</t>
  </si>
  <si>
    <t>Average Gain</t>
  </si>
  <si>
    <t>Average Loss</t>
  </si>
  <si>
    <t>Relative Strength</t>
  </si>
  <si>
    <t>RSI</t>
  </si>
  <si>
    <t>KO Stock Price</t>
  </si>
  <si>
    <t>20-day Simple Moving Average</t>
  </si>
  <si>
    <t>20-day Standard Deviation</t>
  </si>
  <si>
    <t>Upper Band</t>
  </si>
  <si>
    <t>Lower Band</t>
  </si>
  <si>
    <t>Lowest Price over 14 days</t>
  </si>
  <si>
    <t>Highest Price over 14 days</t>
  </si>
  <si>
    <t>%K</t>
  </si>
  <si>
    <t>3-day SMA of %K</t>
  </si>
  <si>
    <t>OverBought</t>
  </si>
  <si>
    <t>OverSold</t>
  </si>
  <si>
    <t>Parameter</t>
  </si>
  <si>
    <t>Option Type</t>
  </si>
  <si>
    <t>Stock Price (S)</t>
  </si>
  <si>
    <t>Strike Price (K)</t>
  </si>
  <si>
    <t>Expiry in Years (T)</t>
  </si>
  <si>
    <t>Volatility (σ)</t>
  </si>
  <si>
    <t xml:space="preserve">Risk-Free Rate </t>
  </si>
  <si>
    <t>Value</t>
  </si>
  <si>
    <t>Description</t>
  </si>
  <si>
    <t>Choose whether it's a Call or Put option</t>
  </si>
  <si>
    <t>The latest stock price</t>
  </si>
  <si>
    <t>The fixed price at which you can buy/sell</t>
  </si>
  <si>
    <t>Time to expiration in years</t>
  </si>
  <si>
    <t>The stock’s standard deviation of returns</t>
  </si>
  <si>
    <t>Call/Put</t>
  </si>
  <si>
    <t>d1</t>
  </si>
  <si>
    <t>d2</t>
  </si>
  <si>
    <t>Call Option Price</t>
  </si>
  <si>
    <t>Put Option Price</t>
  </si>
  <si>
    <t>Time to Expiry (T)</t>
  </si>
  <si>
    <t>Risk-Free Rate (r)</t>
  </si>
  <si>
    <t>Number of Simulations</t>
  </si>
  <si>
    <t>Simulation #</t>
  </si>
  <si>
    <t>Simulated Stock Price</t>
  </si>
  <si>
    <t>Call Payoff</t>
  </si>
  <si>
    <t>Put Payoff</t>
  </si>
  <si>
    <t>Monte Put</t>
  </si>
  <si>
    <t>Monte Call</t>
  </si>
  <si>
    <t>Scholes Put</t>
  </si>
  <si>
    <t>Scholes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</si>
</sst>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 wrapText="1"/>
    </xf>
    <xf numFmtId="0" fontId="1" fillId="0" borderId="0" xfId="0" applyFont="1"/>
  </cellXfs>
  <cellStyles count="1"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MACD Chart</a:t>
            </a: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'Moving Average Convergence Dive'!$F$1</c:f>
              <c:strCache>
                <c:ptCount val="1"/>
                <c:pt idx="0">
                  <c:v>MACD 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'Moving Average Convergence Dive'!$A$2:$A$188</c:f>
              <c:strCache>
                <c:ptCount val="187"/>
                <c:pt idx="0">
                  <c:v>Mar 28, 2025</c:v>
                </c:pt>
                <c:pt idx="1">
                  <c:v>Mar 27, 2025</c:v>
                </c:pt>
                <c:pt idx="2">
                  <c:v>Mar 26, 2025</c:v>
                </c:pt>
                <c:pt idx="3">
                  <c:v>Mar 25, 2025</c:v>
                </c:pt>
                <c:pt idx="4">
                  <c:v>Mar 24, 2025</c:v>
                </c:pt>
                <c:pt idx="5">
                  <c:v>Mar 21, 2025</c:v>
                </c:pt>
                <c:pt idx="6">
                  <c:v>Mar 20, 2025</c:v>
                </c:pt>
                <c:pt idx="7">
                  <c:v>Mar 19, 2025</c:v>
                </c:pt>
                <c:pt idx="8">
                  <c:v>Mar 18, 2025</c:v>
                </c:pt>
                <c:pt idx="9">
                  <c:v>Mar 17, 2025</c:v>
                </c:pt>
                <c:pt idx="10">
                  <c:v>Mar 14, 2025</c:v>
                </c:pt>
                <c:pt idx="11">
                  <c:v>Mar 13, 2025</c:v>
                </c:pt>
                <c:pt idx="12">
                  <c:v>Mar 12, 2025</c:v>
                </c:pt>
                <c:pt idx="13">
                  <c:v>Mar 11, 2025</c:v>
                </c:pt>
                <c:pt idx="14">
                  <c:v>Mar 10, 2025</c:v>
                </c:pt>
                <c:pt idx="15">
                  <c:v>Mar 7, 2025</c:v>
                </c:pt>
                <c:pt idx="16">
                  <c:v>Mar 6, 2025</c:v>
                </c:pt>
                <c:pt idx="17">
                  <c:v>Mar 5, 2025</c:v>
                </c:pt>
                <c:pt idx="18">
                  <c:v>Mar 4, 2025</c:v>
                </c:pt>
                <c:pt idx="19">
                  <c:v>Mar 3, 2025</c:v>
                </c:pt>
                <c:pt idx="20">
                  <c:v>Feb 28, 2025</c:v>
                </c:pt>
                <c:pt idx="21">
                  <c:v>Feb 27, 2025</c:v>
                </c:pt>
                <c:pt idx="22">
                  <c:v>Feb 26, 2025</c:v>
                </c:pt>
                <c:pt idx="23">
                  <c:v>Feb 25, 2025</c:v>
                </c:pt>
                <c:pt idx="24">
                  <c:v>Feb 24, 2025</c:v>
                </c:pt>
                <c:pt idx="25">
                  <c:v>Feb 21, 2025</c:v>
                </c:pt>
                <c:pt idx="26">
                  <c:v>Feb 20, 2025</c:v>
                </c:pt>
                <c:pt idx="27">
                  <c:v>Feb 19, 2025</c:v>
                </c:pt>
                <c:pt idx="28">
                  <c:v>Feb 18, 2025</c:v>
                </c:pt>
                <c:pt idx="29">
                  <c:v>Feb 14, 2025</c:v>
                </c:pt>
                <c:pt idx="30">
                  <c:v>Feb 13, 2025</c:v>
                </c:pt>
                <c:pt idx="31">
                  <c:v>Feb 12, 2025</c:v>
                </c:pt>
                <c:pt idx="32">
                  <c:v>Feb 11, 2025</c:v>
                </c:pt>
                <c:pt idx="33">
                  <c:v>Feb 10, 2025</c:v>
                </c:pt>
                <c:pt idx="34">
                  <c:v>Feb 7, 2025</c:v>
                </c:pt>
                <c:pt idx="35">
                  <c:v>Feb 6, 2025</c:v>
                </c:pt>
                <c:pt idx="36">
                  <c:v>Feb 5, 2025</c:v>
                </c:pt>
                <c:pt idx="37">
                  <c:v>Feb 4, 2025</c:v>
                </c:pt>
                <c:pt idx="38">
                  <c:v>Feb 3, 2025</c:v>
                </c:pt>
                <c:pt idx="39">
                  <c:v>Jan 31, 2025</c:v>
                </c:pt>
                <c:pt idx="40">
                  <c:v>Jan 30, 2025</c:v>
                </c:pt>
                <c:pt idx="41">
                  <c:v>Jan 29, 2025</c:v>
                </c:pt>
                <c:pt idx="42">
                  <c:v>Jan 28, 2025</c:v>
                </c:pt>
                <c:pt idx="43">
                  <c:v>Jan 27, 2025</c:v>
                </c:pt>
                <c:pt idx="44">
                  <c:v>Jan 24, 2025</c:v>
                </c:pt>
                <c:pt idx="45">
                  <c:v>Jan 23, 2025</c:v>
                </c:pt>
                <c:pt idx="46">
                  <c:v>Jan 22, 2025</c:v>
                </c:pt>
                <c:pt idx="47">
                  <c:v>Jan 21, 2025</c:v>
                </c:pt>
                <c:pt idx="48">
                  <c:v>Jan 17, 2025</c:v>
                </c:pt>
                <c:pt idx="49">
                  <c:v>Jan 16, 2025</c:v>
                </c:pt>
                <c:pt idx="50">
                  <c:v>Jan 15, 2025</c:v>
                </c:pt>
                <c:pt idx="51">
                  <c:v>Jan 14, 2025</c:v>
                </c:pt>
                <c:pt idx="52">
                  <c:v>Jan 13, 2025</c:v>
                </c:pt>
                <c:pt idx="53">
                  <c:v>Jan 10, 2025</c:v>
                </c:pt>
                <c:pt idx="54">
                  <c:v>Jan 8, 2025</c:v>
                </c:pt>
                <c:pt idx="55">
                  <c:v>Jan 7, 2025</c:v>
                </c:pt>
                <c:pt idx="56">
                  <c:v>Jan 6, 2025</c:v>
                </c:pt>
                <c:pt idx="57">
                  <c:v>Jan 3, 2025</c:v>
                </c:pt>
                <c:pt idx="58">
                  <c:v>Jan 2, 2025</c:v>
                </c:pt>
                <c:pt idx="59">
                  <c:v>Dec 31, 2024</c:v>
                </c:pt>
                <c:pt idx="60">
                  <c:v>Dec 30, 2024</c:v>
                </c:pt>
                <c:pt idx="61">
                  <c:v>Dec 27, 2024</c:v>
                </c:pt>
                <c:pt idx="62">
                  <c:v>Dec 26, 2024</c:v>
                </c:pt>
                <c:pt idx="63">
                  <c:v>Dec 24, 2024</c:v>
                </c:pt>
                <c:pt idx="64">
                  <c:v>Dec 23, 2024</c:v>
                </c:pt>
                <c:pt idx="65">
                  <c:v>Dec 20, 2024</c:v>
                </c:pt>
                <c:pt idx="66">
                  <c:v>Dec 19, 2024</c:v>
                </c:pt>
                <c:pt idx="67">
                  <c:v>Dec 18, 2024</c:v>
                </c:pt>
                <c:pt idx="68">
                  <c:v>Dec 17, 2024</c:v>
                </c:pt>
                <c:pt idx="69">
                  <c:v>Dec 16, 2024</c:v>
                </c:pt>
                <c:pt idx="70">
                  <c:v>Dec 13, 2024</c:v>
                </c:pt>
                <c:pt idx="71">
                  <c:v>Dec 12, 2024</c:v>
                </c:pt>
                <c:pt idx="72">
                  <c:v>Dec 11, 2024</c:v>
                </c:pt>
                <c:pt idx="73">
                  <c:v>Dec 10, 2024</c:v>
                </c:pt>
                <c:pt idx="74">
                  <c:v>Dec 9, 2024</c:v>
                </c:pt>
                <c:pt idx="75">
                  <c:v>Dec 6, 2024</c:v>
                </c:pt>
                <c:pt idx="76">
                  <c:v>Dec 5, 2024</c:v>
                </c:pt>
                <c:pt idx="77">
                  <c:v>Dec 4, 2024</c:v>
                </c:pt>
                <c:pt idx="78">
                  <c:v>Dec 3, 2024</c:v>
                </c:pt>
                <c:pt idx="79">
                  <c:v>Dec 2, 2024</c:v>
                </c:pt>
                <c:pt idx="80">
                  <c:v>Nov 29, 2024</c:v>
                </c:pt>
                <c:pt idx="81">
                  <c:v>Nov 27, 2024</c:v>
                </c:pt>
                <c:pt idx="82">
                  <c:v>Nov 26, 2024</c:v>
                </c:pt>
                <c:pt idx="83">
                  <c:v>Nov 25, 2024</c:v>
                </c:pt>
                <c:pt idx="84">
                  <c:v>Nov 22, 2024</c:v>
                </c:pt>
                <c:pt idx="85">
                  <c:v>Nov 21, 2024</c:v>
                </c:pt>
                <c:pt idx="86">
                  <c:v>Nov 20, 2024</c:v>
                </c:pt>
                <c:pt idx="87">
                  <c:v>Nov 19, 2024</c:v>
                </c:pt>
                <c:pt idx="88">
                  <c:v>Nov 18, 2024</c:v>
                </c:pt>
                <c:pt idx="89">
                  <c:v>Nov 15, 2024</c:v>
                </c:pt>
                <c:pt idx="90">
                  <c:v>Nov 14, 2024</c:v>
                </c:pt>
                <c:pt idx="91">
                  <c:v>Nov 13, 2024</c:v>
                </c:pt>
                <c:pt idx="92">
                  <c:v>Nov 12, 2024</c:v>
                </c:pt>
                <c:pt idx="93">
                  <c:v>Nov 11, 2024</c:v>
                </c:pt>
                <c:pt idx="94">
                  <c:v>Nov 8, 2024</c:v>
                </c:pt>
                <c:pt idx="95">
                  <c:v>Nov 7, 2024</c:v>
                </c:pt>
                <c:pt idx="96">
                  <c:v>Nov 6, 2024</c:v>
                </c:pt>
                <c:pt idx="97">
                  <c:v>Nov 5, 2024</c:v>
                </c:pt>
                <c:pt idx="98">
                  <c:v>Nov 4, 2024</c:v>
                </c:pt>
                <c:pt idx="99">
                  <c:v>Nov 1, 2024</c:v>
                </c:pt>
                <c:pt idx="100">
                  <c:v>Oct 31, 2024</c:v>
                </c:pt>
                <c:pt idx="101">
                  <c:v>Oct 30, 2024</c:v>
                </c:pt>
                <c:pt idx="102">
                  <c:v>Oct 29, 2024</c:v>
                </c:pt>
                <c:pt idx="103">
                  <c:v>Oct 28, 2024</c:v>
                </c:pt>
                <c:pt idx="104">
                  <c:v>Oct 25, 2024</c:v>
                </c:pt>
                <c:pt idx="105">
                  <c:v>Oct 24, 2024</c:v>
                </c:pt>
                <c:pt idx="106">
                  <c:v>Oct 23, 2024</c:v>
                </c:pt>
                <c:pt idx="107">
                  <c:v>Oct 22, 2024</c:v>
                </c:pt>
                <c:pt idx="108">
                  <c:v>Oct 21, 2024</c:v>
                </c:pt>
                <c:pt idx="109">
                  <c:v>Oct 18, 2024</c:v>
                </c:pt>
                <c:pt idx="110">
                  <c:v>Oct 17, 2024</c:v>
                </c:pt>
                <c:pt idx="111">
                  <c:v>Oct 16, 2024</c:v>
                </c:pt>
                <c:pt idx="112">
                  <c:v>Oct 15, 2024</c:v>
                </c:pt>
                <c:pt idx="113">
                  <c:v>Oct 14, 2024</c:v>
                </c:pt>
                <c:pt idx="114">
                  <c:v>Oct 11, 2024</c:v>
                </c:pt>
                <c:pt idx="115">
                  <c:v>Oct 10, 2024</c:v>
                </c:pt>
                <c:pt idx="116">
                  <c:v>Oct 9, 2024</c:v>
                </c:pt>
                <c:pt idx="117">
                  <c:v>Oct 8, 2024</c:v>
                </c:pt>
                <c:pt idx="118">
                  <c:v>Oct 7, 2024</c:v>
                </c:pt>
                <c:pt idx="119">
                  <c:v>Oct 4, 2024</c:v>
                </c:pt>
                <c:pt idx="120">
                  <c:v>Oct 3, 2024</c:v>
                </c:pt>
                <c:pt idx="121">
                  <c:v>Oct 2, 2024</c:v>
                </c:pt>
                <c:pt idx="122">
                  <c:v>Oct 1, 2024</c:v>
                </c:pt>
                <c:pt idx="123">
                  <c:v>Sep 30, 2024</c:v>
                </c:pt>
                <c:pt idx="124">
                  <c:v>Sep 27, 2024</c:v>
                </c:pt>
                <c:pt idx="125">
                  <c:v>Sep 26, 2024</c:v>
                </c:pt>
                <c:pt idx="126">
                  <c:v>Sep 25, 2024</c:v>
                </c:pt>
                <c:pt idx="127">
                  <c:v>Sep 24, 2024</c:v>
                </c:pt>
                <c:pt idx="128">
                  <c:v>Sep 23, 2024</c:v>
                </c:pt>
                <c:pt idx="129">
                  <c:v>Sep 20, 2024</c:v>
                </c:pt>
                <c:pt idx="130">
                  <c:v>Sep 19, 2024</c:v>
                </c:pt>
                <c:pt idx="131">
                  <c:v>Sep 18, 2024</c:v>
                </c:pt>
                <c:pt idx="132">
                  <c:v>Sep 17, 2024</c:v>
                </c:pt>
                <c:pt idx="133">
                  <c:v>Sep 16, 2024</c:v>
                </c:pt>
                <c:pt idx="134">
                  <c:v>Sep 13, 2024</c:v>
                </c:pt>
                <c:pt idx="135">
                  <c:v>Sep 12, 2024</c:v>
                </c:pt>
                <c:pt idx="136">
                  <c:v>Sep 11, 2024</c:v>
                </c:pt>
                <c:pt idx="137">
                  <c:v>Sep 10, 2024</c:v>
                </c:pt>
                <c:pt idx="138">
                  <c:v>Sep 9, 2024</c:v>
                </c:pt>
                <c:pt idx="139">
                  <c:v>Sep 6, 2024</c:v>
                </c:pt>
                <c:pt idx="140">
                  <c:v>Sep 5, 2024</c:v>
                </c:pt>
                <c:pt idx="141">
                  <c:v>Sep 4, 2024</c:v>
                </c:pt>
                <c:pt idx="142">
                  <c:v>Sep 3, 2024</c:v>
                </c:pt>
                <c:pt idx="143">
                  <c:v>Aug 30, 2024</c:v>
                </c:pt>
                <c:pt idx="144">
                  <c:v>Aug 29, 2024</c:v>
                </c:pt>
                <c:pt idx="145">
                  <c:v>Aug 28, 2024</c:v>
                </c:pt>
                <c:pt idx="146">
                  <c:v>Aug 27, 2024</c:v>
                </c:pt>
                <c:pt idx="147">
                  <c:v>Aug 26, 2024</c:v>
                </c:pt>
                <c:pt idx="148">
                  <c:v>Aug 23, 2024</c:v>
                </c:pt>
                <c:pt idx="149">
                  <c:v>Aug 22, 2024</c:v>
                </c:pt>
                <c:pt idx="150">
                  <c:v>Aug 21, 2024</c:v>
                </c:pt>
                <c:pt idx="151">
                  <c:v>Aug 20, 2024</c:v>
                </c:pt>
                <c:pt idx="152">
                  <c:v>Aug 19, 2024</c:v>
                </c:pt>
                <c:pt idx="153">
                  <c:v>Aug 16, 2024</c:v>
                </c:pt>
                <c:pt idx="154">
                  <c:v>Aug 15, 2024</c:v>
                </c:pt>
                <c:pt idx="155">
                  <c:v>Aug 14, 2024</c:v>
                </c:pt>
                <c:pt idx="156">
                  <c:v>Aug 13, 2024</c:v>
                </c:pt>
                <c:pt idx="157">
                  <c:v>Aug 12, 2024</c:v>
                </c:pt>
                <c:pt idx="158">
                  <c:v>Aug 9, 2024</c:v>
                </c:pt>
                <c:pt idx="159">
                  <c:v>Aug 8, 2024</c:v>
                </c:pt>
                <c:pt idx="160">
                  <c:v>Aug 7, 2024</c:v>
                </c:pt>
                <c:pt idx="161">
                  <c:v>Aug 6, 2024</c:v>
                </c:pt>
                <c:pt idx="162">
                  <c:v>Aug 5, 2024</c:v>
                </c:pt>
                <c:pt idx="163">
                  <c:v>Aug 2, 2024</c:v>
                </c:pt>
                <c:pt idx="164">
                  <c:v>Aug 1, 2024</c:v>
                </c:pt>
                <c:pt idx="165">
                  <c:v>Jul 31, 2024</c:v>
                </c:pt>
                <c:pt idx="166">
                  <c:v>Jul 30, 2024</c:v>
                </c:pt>
                <c:pt idx="167">
                  <c:v>Jul 29, 2024</c:v>
                </c:pt>
                <c:pt idx="168">
                  <c:v>Jul 26, 2024</c:v>
                </c:pt>
                <c:pt idx="169">
                  <c:v>Jul 25, 2024</c:v>
                </c:pt>
                <c:pt idx="170">
                  <c:v>Jul 24, 2024</c:v>
                </c:pt>
                <c:pt idx="171">
                  <c:v>Jul 23, 2024</c:v>
                </c:pt>
                <c:pt idx="172">
                  <c:v>Jul 22, 2024</c:v>
                </c:pt>
                <c:pt idx="173">
                  <c:v>Jul 19, 2024</c:v>
                </c:pt>
                <c:pt idx="174">
                  <c:v>Jul 18, 2024</c:v>
                </c:pt>
                <c:pt idx="175">
                  <c:v>Jul 17, 2024</c:v>
                </c:pt>
                <c:pt idx="176">
                  <c:v>Jul 16, 2024</c:v>
                </c:pt>
                <c:pt idx="177">
                  <c:v>Jul 15, 2024</c:v>
                </c:pt>
                <c:pt idx="178">
                  <c:v>Jul 12, 2024</c:v>
                </c:pt>
                <c:pt idx="179">
                  <c:v>Jul 11, 2024</c:v>
                </c:pt>
                <c:pt idx="180">
                  <c:v>Jul 10, 2024</c:v>
                </c:pt>
                <c:pt idx="181">
                  <c:v>Jul 9, 2024</c:v>
                </c:pt>
                <c:pt idx="182">
                  <c:v>Jul 8, 2024</c:v>
                </c:pt>
                <c:pt idx="183">
                  <c:v>Jul 5, 2024</c:v>
                </c:pt>
                <c:pt idx="184">
                  <c:v>Jul 3, 2024</c:v>
                </c:pt>
                <c:pt idx="185">
                  <c:v>Jul 2, 2024</c:v>
                </c:pt>
                <c:pt idx="186">
                  <c:v>Jul 1, 2024</c:v>
                </c:pt>
              </c:strCache>
            </c:strRef>
          </c:cat>
          <c:val>
            <c:numRef>
              <c:f>'Moving Average Convergence Dive'!$F$2:$F$188</c:f>
              <c:numCache>
                <c:formatCode>General</c:formatCode>
                <c:ptCount val="187"/>
                <c:pt idx="0">
                  <c:v>-0.48410256410257091</c:v>
                </c:pt>
                <c:pt idx="1">
                  <c:v>-0.35145299145300157</c:v>
                </c:pt>
                <c:pt idx="2">
                  <c:v>-0.30095599873378376</c:v>
                </c:pt>
                <c:pt idx="3">
                  <c:v>-0.35448734633287415</c:v>
                </c:pt>
                <c:pt idx="4">
                  <c:v>-0.38122002782695574</c:v>
                </c:pt>
                <c:pt idx="5">
                  <c:v>-0.42015623095960564</c:v>
                </c:pt>
                <c:pt idx="6">
                  <c:v>-0.36291073505543636</c:v>
                </c:pt>
                <c:pt idx="7">
                  <c:v>-0.34822653473104026</c:v>
                </c:pt>
                <c:pt idx="8">
                  <c:v>-0.32477621784177302</c:v>
                </c:pt>
                <c:pt idx="9">
                  <c:v>-0.24367096993317716</c:v>
                </c:pt>
                <c:pt idx="10">
                  <c:v>-0.25393129171494877</c:v>
                </c:pt>
                <c:pt idx="11">
                  <c:v>-0.26306480545605382</c:v>
                </c:pt>
                <c:pt idx="12">
                  <c:v>-0.24169573724232407</c:v>
                </c:pt>
                <c:pt idx="13">
                  <c:v>-0.13524765545388107</c:v>
                </c:pt>
                <c:pt idx="14">
                  <c:v>-1.7600324645783871E-2</c:v>
                </c:pt>
                <c:pt idx="15">
                  <c:v>7.3178641937715838E-2</c:v>
                </c:pt>
                <c:pt idx="16">
                  <c:v>6.608890188846317E-2</c:v>
                </c:pt>
                <c:pt idx="17">
                  <c:v>3.0265442853988134E-2</c:v>
                </c:pt>
                <c:pt idx="18">
                  <c:v>1.0628653663403043E-2</c:v>
                </c:pt>
                <c:pt idx="19">
                  <c:v>0.16344166892817213</c:v>
                </c:pt>
                <c:pt idx="20">
                  <c:v>0.19355509491705902</c:v>
                </c:pt>
                <c:pt idx="21">
                  <c:v>0.18781997174690446</c:v>
                </c:pt>
                <c:pt idx="22">
                  <c:v>0.17560219750536987</c:v>
                </c:pt>
                <c:pt idx="23">
                  <c:v>0.21907143765794501</c:v>
                </c:pt>
                <c:pt idx="24">
                  <c:v>0.17883712224862336</c:v>
                </c:pt>
                <c:pt idx="25">
                  <c:v>0.20590326120429836</c:v>
                </c:pt>
                <c:pt idx="26">
                  <c:v>0.1210587460133894</c:v>
                </c:pt>
                <c:pt idx="27">
                  <c:v>5.5598698544585545E-2</c:v>
                </c:pt>
                <c:pt idx="28">
                  <c:v>-7.7688788202138426E-2</c:v>
                </c:pt>
                <c:pt idx="29">
                  <c:v>-0.19479221755409526</c:v>
                </c:pt>
                <c:pt idx="30">
                  <c:v>-0.23486137482353797</c:v>
                </c:pt>
                <c:pt idx="31">
                  <c:v>-0.32580032852668239</c:v>
                </c:pt>
                <c:pt idx="32">
                  <c:v>-0.48188298081801406</c:v>
                </c:pt>
                <c:pt idx="33">
                  <c:v>-0.83959009607967516</c:v>
                </c:pt>
                <c:pt idx="34">
                  <c:v>-1.1669151567994476</c:v>
                </c:pt>
                <c:pt idx="35">
                  <c:v>-1.4475611142659375</c:v>
                </c:pt>
                <c:pt idx="36">
                  <c:v>-1.6700893018620206</c:v>
                </c:pt>
                <c:pt idx="37">
                  <c:v>-1.8612998271653538</c:v>
                </c:pt>
                <c:pt idx="38">
                  <c:v>-1.9356522349994236</c:v>
                </c:pt>
                <c:pt idx="39">
                  <c:v>-1.9622741814791169</c:v>
                </c:pt>
                <c:pt idx="40">
                  <c:v>-1.9152996474506239</c:v>
                </c:pt>
                <c:pt idx="41">
                  <c:v>-1.953193677514335</c:v>
                </c:pt>
                <c:pt idx="42">
                  <c:v>-1.9981169924928608</c:v>
                </c:pt>
                <c:pt idx="43">
                  <c:v>-1.8908846382168605</c:v>
                </c:pt>
                <c:pt idx="44">
                  <c:v>-1.939282256510964</c:v>
                </c:pt>
                <c:pt idx="45">
                  <c:v>-1.9862116468381217</c:v>
                </c:pt>
                <c:pt idx="46">
                  <c:v>-1.9804017771874669</c:v>
                </c:pt>
                <c:pt idx="47">
                  <c:v>-1.9030247935331062</c:v>
                </c:pt>
                <c:pt idx="48">
                  <c:v>-1.7975810052736136</c:v>
                </c:pt>
                <c:pt idx="49">
                  <c:v>-1.731178253728153</c:v>
                </c:pt>
                <c:pt idx="50">
                  <c:v>-1.6969176563209984</c:v>
                </c:pt>
                <c:pt idx="51">
                  <c:v>-1.6291987534370875</c:v>
                </c:pt>
                <c:pt idx="52">
                  <c:v>-1.588687376494569</c:v>
                </c:pt>
                <c:pt idx="53">
                  <c:v>-1.5851108005254204</c:v>
                </c:pt>
                <c:pt idx="54">
                  <c:v>-1.5131905680649709</c:v>
                </c:pt>
                <c:pt idx="55">
                  <c:v>-1.509000180033965</c:v>
                </c:pt>
                <c:pt idx="56">
                  <c:v>-1.4909136916332102</c:v>
                </c:pt>
                <c:pt idx="57">
                  <c:v>-1.3847671415570275</c:v>
                </c:pt>
                <c:pt idx="58">
                  <c:v>-1.2786435807673442</c:v>
                </c:pt>
                <c:pt idx="59">
                  <c:v>-1.148220351307998</c:v>
                </c:pt>
                <c:pt idx="60">
                  <c:v>-1.0505016347651122</c:v>
                </c:pt>
                <c:pt idx="61">
                  <c:v>-0.92926330545355995</c:v>
                </c:pt>
                <c:pt idx="62">
                  <c:v>-0.81411346561740316</c:v>
                </c:pt>
                <c:pt idx="63">
                  <c:v>-0.69308024676437441</c:v>
                </c:pt>
                <c:pt idx="64">
                  <c:v>-0.62705045710158203</c:v>
                </c:pt>
                <c:pt idx="65">
                  <c:v>-0.55461058819653175</c:v>
                </c:pt>
                <c:pt idx="66">
                  <c:v>-0.49951256454503579</c:v>
                </c:pt>
                <c:pt idx="67">
                  <c:v>-0.41874331450986801</c:v>
                </c:pt>
                <c:pt idx="68">
                  <c:v>-0.30681591559901022</c:v>
                </c:pt>
                <c:pt idx="69">
                  <c:v>-0.28343329918054394</c:v>
                </c:pt>
                <c:pt idx="70">
                  <c:v>-0.21641349088482542</c:v>
                </c:pt>
                <c:pt idx="71">
                  <c:v>-0.10480066682538336</c:v>
                </c:pt>
                <c:pt idx="72">
                  <c:v>-0.1110891873847919</c:v>
                </c:pt>
                <c:pt idx="73">
                  <c:v>-9.321165577310353E-2</c:v>
                </c:pt>
                <c:pt idx="74">
                  <c:v>-0.10287214632494113</c:v>
                </c:pt>
                <c:pt idx="75">
                  <c:v>-0.1148526201609954</c:v>
                </c:pt>
                <c:pt idx="76">
                  <c:v>-9.1819058406777287E-2</c:v>
                </c:pt>
                <c:pt idx="77">
                  <c:v>-0.12936462616735867</c:v>
                </c:pt>
                <c:pt idx="78">
                  <c:v>-5.3602724826880888E-2</c:v>
                </c:pt>
                <c:pt idx="79">
                  <c:v>1.6736117816826379E-2</c:v>
                </c:pt>
                <c:pt idx="80">
                  <c:v>0.1059561669785154</c:v>
                </c:pt>
                <c:pt idx="81">
                  <c:v>0.16428006684047602</c:v>
                </c:pt>
                <c:pt idx="82">
                  <c:v>0.21687822124127365</c:v>
                </c:pt>
                <c:pt idx="83">
                  <c:v>0.24285252202547269</c:v>
                </c:pt>
                <c:pt idx="84">
                  <c:v>0.22374005087889515</c:v>
                </c:pt>
                <c:pt idx="85">
                  <c:v>0.19425033643779699</c:v>
                </c:pt>
                <c:pt idx="86">
                  <c:v>0.10830539963708219</c:v>
                </c:pt>
                <c:pt idx="87">
                  <c:v>7.8265414640128483E-3</c:v>
                </c:pt>
                <c:pt idx="88">
                  <c:v>-0.12842129945749292</c:v>
                </c:pt>
                <c:pt idx="89">
                  <c:v>-0.24247962155317282</c:v>
                </c:pt>
                <c:pt idx="90">
                  <c:v>-0.26605831126855861</c:v>
                </c:pt>
                <c:pt idx="91">
                  <c:v>-0.24560220422199563</c:v>
                </c:pt>
                <c:pt idx="92">
                  <c:v>-0.21161975905192776</c:v>
                </c:pt>
                <c:pt idx="93">
                  <c:v>-0.16982018224857853</c:v>
                </c:pt>
                <c:pt idx="94">
                  <c:v>-9.1261309456797335E-2</c:v>
                </c:pt>
                <c:pt idx="95">
                  <c:v>-4.8615340067719615E-2</c:v>
                </c:pt>
                <c:pt idx="96">
                  <c:v>-1.1458351628206742E-2</c:v>
                </c:pt>
                <c:pt idx="97">
                  <c:v>0.14861003933297923</c:v>
                </c:pt>
                <c:pt idx="98">
                  <c:v>0.2523831657061848</c:v>
                </c:pt>
                <c:pt idx="99">
                  <c:v>0.32283352778540575</c:v>
                </c:pt>
                <c:pt idx="100">
                  <c:v>0.39748456898382045</c:v>
                </c:pt>
                <c:pt idx="101">
                  <c:v>0.49930536115940072</c:v>
                </c:pt>
                <c:pt idx="102">
                  <c:v>0.54546916857720618</c:v>
                </c:pt>
                <c:pt idx="103">
                  <c:v>0.66237278785239084</c:v>
                </c:pt>
                <c:pt idx="104">
                  <c:v>0.76635855465940494</c:v>
                </c:pt>
                <c:pt idx="105">
                  <c:v>0.86861112347220626</c:v>
                </c:pt>
                <c:pt idx="106">
                  <c:v>0.99466528851389313</c:v>
                </c:pt>
                <c:pt idx="107">
                  <c:v>1.1953668105435327</c:v>
                </c:pt>
                <c:pt idx="108">
                  <c:v>1.3389891789651358</c:v>
                </c:pt>
                <c:pt idx="109">
                  <c:v>1.5144313288229085</c:v>
                </c:pt>
                <c:pt idx="110">
                  <c:v>1.5923483256764541</c:v>
                </c:pt>
                <c:pt idx="111">
                  <c:v>1.687897558816104</c:v>
                </c:pt>
                <c:pt idx="112">
                  <c:v>1.725175190947553</c:v>
                </c:pt>
                <c:pt idx="113">
                  <c:v>1.7347211968517087</c:v>
                </c:pt>
                <c:pt idx="114">
                  <c:v>1.661804578151532</c:v>
                </c:pt>
                <c:pt idx="115">
                  <c:v>1.5610088845471068</c:v>
                </c:pt>
                <c:pt idx="116">
                  <c:v>1.4889779692211675</c:v>
                </c:pt>
                <c:pt idx="117">
                  <c:v>1.3852616911826487</c:v>
                </c:pt>
                <c:pt idx="118">
                  <c:v>1.2746547874068028</c:v>
                </c:pt>
                <c:pt idx="119">
                  <c:v>1.2644111472700814</c:v>
                </c:pt>
                <c:pt idx="120">
                  <c:v>1.2698964873650169</c:v>
                </c:pt>
                <c:pt idx="121">
                  <c:v>1.2980129619423622</c:v>
                </c:pt>
                <c:pt idx="122">
                  <c:v>1.3602921034267013</c:v>
                </c:pt>
                <c:pt idx="123">
                  <c:v>1.4055502102485917</c:v>
                </c:pt>
                <c:pt idx="124">
                  <c:v>1.4194071291517929</c:v>
                </c:pt>
                <c:pt idx="125">
                  <c:v>1.3829769986155469</c:v>
                </c:pt>
                <c:pt idx="126">
                  <c:v>1.3426630559035004</c:v>
                </c:pt>
                <c:pt idx="127">
                  <c:v>1.2862044049934411</c:v>
                </c:pt>
                <c:pt idx="128">
                  <c:v>1.2592216510896179</c:v>
                </c:pt>
                <c:pt idx="129">
                  <c:v>1.2165517253690865</c:v>
                </c:pt>
                <c:pt idx="130">
                  <c:v>1.0886872339883809</c:v>
                </c:pt>
                <c:pt idx="131">
                  <c:v>1.0654465386446645</c:v>
                </c:pt>
                <c:pt idx="132">
                  <c:v>1.0390847797441012</c:v>
                </c:pt>
                <c:pt idx="133">
                  <c:v>1.0297234611782073</c:v>
                </c:pt>
                <c:pt idx="134">
                  <c:v>0.95640934023708724</c:v>
                </c:pt>
                <c:pt idx="135">
                  <c:v>0.83621839830044564</c:v>
                </c:pt>
                <c:pt idx="136">
                  <c:v>0.72055633953753784</c:v>
                </c:pt>
                <c:pt idx="137">
                  <c:v>0.65842160586817045</c:v>
                </c:pt>
                <c:pt idx="138">
                  <c:v>0.62537106973555012</c:v>
                </c:pt>
                <c:pt idx="139">
                  <c:v>0.53730730416457106</c:v>
                </c:pt>
                <c:pt idx="140">
                  <c:v>0.46458147866977129</c:v>
                </c:pt>
                <c:pt idx="141">
                  <c:v>0.51079820822603494</c:v>
                </c:pt>
                <c:pt idx="142">
                  <c:v>0.57628654952252134</c:v>
                </c:pt>
                <c:pt idx="143">
                  <c:v>0.578748508663395</c:v>
                </c:pt>
                <c:pt idx="144">
                  <c:v>0.54137541672348277</c:v>
                </c:pt>
                <c:pt idx="145">
                  <c:v>0.48279108068253151</c:v>
                </c:pt>
                <c:pt idx="146">
                  <c:v>0.41144675950307885</c:v>
                </c:pt>
                <c:pt idx="147">
                  <c:v>0.29980722855617614</c:v>
                </c:pt>
                <c:pt idx="148">
                  <c:v>0.12675851082219936</c:v>
                </c:pt>
                <c:pt idx="149">
                  <c:v>-4.616294621520467E-2</c:v>
                </c:pt>
                <c:pt idx="150">
                  <c:v>-0.16276906843864936</c:v>
                </c:pt>
                <c:pt idx="151">
                  <c:v>-0.26663119760586085</c:v>
                </c:pt>
                <c:pt idx="152">
                  <c:v>-0.376077239573263</c:v>
                </c:pt>
                <c:pt idx="153">
                  <c:v>-0.44238308738734133</c:v>
                </c:pt>
                <c:pt idx="154">
                  <c:v>-0.53077219222872429</c:v>
                </c:pt>
                <c:pt idx="155">
                  <c:v>-0.59876055423004004</c:v>
                </c:pt>
                <c:pt idx="156">
                  <c:v>-0.65477695688942106</c:v>
                </c:pt>
                <c:pt idx="157">
                  <c:v>-0.71433650932182502</c:v>
                </c:pt>
                <c:pt idx="158">
                  <c:v>-0.71297334944040358</c:v>
                </c:pt>
                <c:pt idx="159">
                  <c:v>-0.69979169028043486</c:v>
                </c:pt>
                <c:pt idx="160">
                  <c:v>-0.70223008620602911</c:v>
                </c:pt>
                <c:pt idx="161">
                  <c:v>-0.72804672020807004</c:v>
                </c:pt>
                <c:pt idx="162">
                  <c:v>-0.73598799505060697</c:v>
                </c:pt>
                <c:pt idx="163">
                  <c:v>-0.63809596827424286</c:v>
                </c:pt>
                <c:pt idx="164">
                  <c:v>-0.6610227738679697</c:v>
                </c:pt>
                <c:pt idx="165">
                  <c:v>-0.76717884350559018</c:v>
                </c:pt>
                <c:pt idx="166">
                  <c:v>-0.76821646110194308</c:v>
                </c:pt>
                <c:pt idx="167">
                  <c:v>-0.82648563202670289</c:v>
                </c:pt>
                <c:pt idx="168">
                  <c:v>-0.84516961913840305</c:v>
                </c:pt>
                <c:pt idx="169">
                  <c:v>-0.92675770454911799</c:v>
                </c:pt>
                <c:pt idx="170">
                  <c:v>-1.0008593930669321</c:v>
                </c:pt>
                <c:pt idx="171">
                  <c:v>-1.1137212926969227</c:v>
                </c:pt>
                <c:pt idx="172">
                  <c:v>-1.2038128517495181</c:v>
                </c:pt>
                <c:pt idx="173">
                  <c:v>-1.2199949809018449</c:v>
                </c:pt>
                <c:pt idx="174">
                  <c:v>-1.2267474184895377</c:v>
                </c:pt>
                <c:pt idx="175">
                  <c:v>-1.2164623206623588</c:v>
                </c:pt>
                <c:pt idx="176">
                  <c:v>-1.2679316905053071</c:v>
                </c:pt>
                <c:pt idx="177">
                  <c:v>-1.3608158783821978</c:v>
                </c:pt>
                <c:pt idx="178">
                  <c:v>-1.3957443346574649</c:v>
                </c:pt>
                <c:pt idx="179">
                  <c:v>-1.4542695430251769</c:v>
                </c:pt>
                <c:pt idx="180">
                  <c:v>-1.5042904949597045</c:v>
                </c:pt>
                <c:pt idx="181">
                  <c:v>-1.5375058790114409</c:v>
                </c:pt>
                <c:pt idx="182">
                  <c:v>-1.5244694319977086</c:v>
                </c:pt>
                <c:pt idx="183">
                  <c:v>-1.4346605982177465</c:v>
                </c:pt>
                <c:pt idx="184">
                  <c:v>-1.3814524167865159</c:v>
                </c:pt>
                <c:pt idx="185">
                  <c:v>-1.3383810220265886</c:v>
                </c:pt>
                <c:pt idx="186">
                  <c:v>-1.279013051522071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D-4798-9DC1-C0505331AF8B}"/>
            </c:ext>
          </c:extLst>
        </c:ser>
        <c:ser>
          <c:idx val="1"/>
          <c:order val="1"/>
          <c:tx>
            <c:strRef>
              <c:f>'Moving Average Convergence Dive'!$G$1</c:f>
              <c:strCache>
                <c:ptCount val="1"/>
                <c:pt idx="0">
                  <c:v>Signal Line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'Moving Average Convergence Dive'!$A$2:$A$188</c:f>
              <c:strCache>
                <c:ptCount val="187"/>
                <c:pt idx="0">
                  <c:v>Mar 28, 2025</c:v>
                </c:pt>
                <c:pt idx="1">
                  <c:v>Mar 27, 2025</c:v>
                </c:pt>
                <c:pt idx="2">
                  <c:v>Mar 26, 2025</c:v>
                </c:pt>
                <c:pt idx="3">
                  <c:v>Mar 25, 2025</c:v>
                </c:pt>
                <c:pt idx="4">
                  <c:v>Mar 24, 2025</c:v>
                </c:pt>
                <c:pt idx="5">
                  <c:v>Mar 21, 2025</c:v>
                </c:pt>
                <c:pt idx="6">
                  <c:v>Mar 20, 2025</c:v>
                </c:pt>
                <c:pt idx="7">
                  <c:v>Mar 19, 2025</c:v>
                </c:pt>
                <c:pt idx="8">
                  <c:v>Mar 18, 2025</c:v>
                </c:pt>
                <c:pt idx="9">
                  <c:v>Mar 17, 2025</c:v>
                </c:pt>
                <c:pt idx="10">
                  <c:v>Mar 14, 2025</c:v>
                </c:pt>
                <c:pt idx="11">
                  <c:v>Mar 13, 2025</c:v>
                </c:pt>
                <c:pt idx="12">
                  <c:v>Mar 12, 2025</c:v>
                </c:pt>
                <c:pt idx="13">
                  <c:v>Mar 11, 2025</c:v>
                </c:pt>
                <c:pt idx="14">
                  <c:v>Mar 10, 2025</c:v>
                </c:pt>
                <c:pt idx="15">
                  <c:v>Mar 7, 2025</c:v>
                </c:pt>
                <c:pt idx="16">
                  <c:v>Mar 6, 2025</c:v>
                </c:pt>
                <c:pt idx="17">
                  <c:v>Mar 5, 2025</c:v>
                </c:pt>
                <c:pt idx="18">
                  <c:v>Mar 4, 2025</c:v>
                </c:pt>
                <c:pt idx="19">
                  <c:v>Mar 3, 2025</c:v>
                </c:pt>
                <c:pt idx="20">
                  <c:v>Feb 28, 2025</c:v>
                </c:pt>
                <c:pt idx="21">
                  <c:v>Feb 27, 2025</c:v>
                </c:pt>
                <c:pt idx="22">
                  <c:v>Feb 26, 2025</c:v>
                </c:pt>
                <c:pt idx="23">
                  <c:v>Feb 25, 2025</c:v>
                </c:pt>
                <c:pt idx="24">
                  <c:v>Feb 24, 2025</c:v>
                </c:pt>
                <c:pt idx="25">
                  <c:v>Feb 21, 2025</c:v>
                </c:pt>
                <c:pt idx="26">
                  <c:v>Feb 20, 2025</c:v>
                </c:pt>
                <c:pt idx="27">
                  <c:v>Feb 19, 2025</c:v>
                </c:pt>
                <c:pt idx="28">
                  <c:v>Feb 18, 2025</c:v>
                </c:pt>
                <c:pt idx="29">
                  <c:v>Feb 14, 2025</c:v>
                </c:pt>
                <c:pt idx="30">
                  <c:v>Feb 13, 2025</c:v>
                </c:pt>
                <c:pt idx="31">
                  <c:v>Feb 12, 2025</c:v>
                </c:pt>
                <c:pt idx="32">
                  <c:v>Feb 11, 2025</c:v>
                </c:pt>
                <c:pt idx="33">
                  <c:v>Feb 10, 2025</c:v>
                </c:pt>
                <c:pt idx="34">
                  <c:v>Feb 7, 2025</c:v>
                </c:pt>
                <c:pt idx="35">
                  <c:v>Feb 6, 2025</c:v>
                </c:pt>
                <c:pt idx="36">
                  <c:v>Feb 5, 2025</c:v>
                </c:pt>
                <c:pt idx="37">
                  <c:v>Feb 4, 2025</c:v>
                </c:pt>
                <c:pt idx="38">
                  <c:v>Feb 3, 2025</c:v>
                </c:pt>
                <c:pt idx="39">
                  <c:v>Jan 31, 2025</c:v>
                </c:pt>
                <c:pt idx="40">
                  <c:v>Jan 30, 2025</c:v>
                </c:pt>
                <c:pt idx="41">
                  <c:v>Jan 29, 2025</c:v>
                </c:pt>
                <c:pt idx="42">
                  <c:v>Jan 28, 2025</c:v>
                </c:pt>
                <c:pt idx="43">
                  <c:v>Jan 27, 2025</c:v>
                </c:pt>
                <c:pt idx="44">
                  <c:v>Jan 24, 2025</c:v>
                </c:pt>
                <c:pt idx="45">
                  <c:v>Jan 23, 2025</c:v>
                </c:pt>
                <c:pt idx="46">
                  <c:v>Jan 22, 2025</c:v>
                </c:pt>
                <c:pt idx="47">
                  <c:v>Jan 21, 2025</c:v>
                </c:pt>
                <c:pt idx="48">
                  <c:v>Jan 17, 2025</c:v>
                </c:pt>
                <c:pt idx="49">
                  <c:v>Jan 16, 2025</c:v>
                </c:pt>
                <c:pt idx="50">
                  <c:v>Jan 15, 2025</c:v>
                </c:pt>
                <c:pt idx="51">
                  <c:v>Jan 14, 2025</c:v>
                </c:pt>
                <c:pt idx="52">
                  <c:v>Jan 13, 2025</c:v>
                </c:pt>
                <c:pt idx="53">
                  <c:v>Jan 10, 2025</c:v>
                </c:pt>
                <c:pt idx="54">
                  <c:v>Jan 8, 2025</c:v>
                </c:pt>
                <c:pt idx="55">
                  <c:v>Jan 7, 2025</c:v>
                </c:pt>
                <c:pt idx="56">
                  <c:v>Jan 6, 2025</c:v>
                </c:pt>
                <c:pt idx="57">
                  <c:v>Jan 3, 2025</c:v>
                </c:pt>
                <c:pt idx="58">
                  <c:v>Jan 2, 2025</c:v>
                </c:pt>
                <c:pt idx="59">
                  <c:v>Dec 31, 2024</c:v>
                </c:pt>
                <c:pt idx="60">
                  <c:v>Dec 30, 2024</c:v>
                </c:pt>
                <c:pt idx="61">
                  <c:v>Dec 27, 2024</c:v>
                </c:pt>
                <c:pt idx="62">
                  <c:v>Dec 26, 2024</c:v>
                </c:pt>
                <c:pt idx="63">
                  <c:v>Dec 24, 2024</c:v>
                </c:pt>
                <c:pt idx="64">
                  <c:v>Dec 23, 2024</c:v>
                </c:pt>
                <c:pt idx="65">
                  <c:v>Dec 20, 2024</c:v>
                </c:pt>
                <c:pt idx="66">
                  <c:v>Dec 19, 2024</c:v>
                </c:pt>
                <c:pt idx="67">
                  <c:v>Dec 18, 2024</c:v>
                </c:pt>
                <c:pt idx="68">
                  <c:v>Dec 17, 2024</c:v>
                </c:pt>
                <c:pt idx="69">
                  <c:v>Dec 16, 2024</c:v>
                </c:pt>
                <c:pt idx="70">
                  <c:v>Dec 13, 2024</c:v>
                </c:pt>
                <c:pt idx="71">
                  <c:v>Dec 12, 2024</c:v>
                </c:pt>
                <c:pt idx="72">
                  <c:v>Dec 11, 2024</c:v>
                </c:pt>
                <c:pt idx="73">
                  <c:v>Dec 10, 2024</c:v>
                </c:pt>
                <c:pt idx="74">
                  <c:v>Dec 9, 2024</c:v>
                </c:pt>
                <c:pt idx="75">
                  <c:v>Dec 6, 2024</c:v>
                </c:pt>
                <c:pt idx="76">
                  <c:v>Dec 5, 2024</c:v>
                </c:pt>
                <c:pt idx="77">
                  <c:v>Dec 4, 2024</c:v>
                </c:pt>
                <c:pt idx="78">
                  <c:v>Dec 3, 2024</c:v>
                </c:pt>
                <c:pt idx="79">
                  <c:v>Dec 2, 2024</c:v>
                </c:pt>
                <c:pt idx="80">
                  <c:v>Nov 29, 2024</c:v>
                </c:pt>
                <c:pt idx="81">
                  <c:v>Nov 27, 2024</c:v>
                </c:pt>
                <c:pt idx="82">
                  <c:v>Nov 26, 2024</c:v>
                </c:pt>
                <c:pt idx="83">
                  <c:v>Nov 25, 2024</c:v>
                </c:pt>
                <c:pt idx="84">
                  <c:v>Nov 22, 2024</c:v>
                </c:pt>
                <c:pt idx="85">
                  <c:v>Nov 21, 2024</c:v>
                </c:pt>
                <c:pt idx="86">
                  <c:v>Nov 20, 2024</c:v>
                </c:pt>
                <c:pt idx="87">
                  <c:v>Nov 19, 2024</c:v>
                </c:pt>
                <c:pt idx="88">
                  <c:v>Nov 18, 2024</c:v>
                </c:pt>
                <c:pt idx="89">
                  <c:v>Nov 15, 2024</c:v>
                </c:pt>
                <c:pt idx="90">
                  <c:v>Nov 14, 2024</c:v>
                </c:pt>
                <c:pt idx="91">
                  <c:v>Nov 13, 2024</c:v>
                </c:pt>
                <c:pt idx="92">
                  <c:v>Nov 12, 2024</c:v>
                </c:pt>
                <c:pt idx="93">
                  <c:v>Nov 11, 2024</c:v>
                </c:pt>
                <c:pt idx="94">
                  <c:v>Nov 8, 2024</c:v>
                </c:pt>
                <c:pt idx="95">
                  <c:v>Nov 7, 2024</c:v>
                </c:pt>
                <c:pt idx="96">
                  <c:v>Nov 6, 2024</c:v>
                </c:pt>
                <c:pt idx="97">
                  <c:v>Nov 5, 2024</c:v>
                </c:pt>
                <c:pt idx="98">
                  <c:v>Nov 4, 2024</c:v>
                </c:pt>
                <c:pt idx="99">
                  <c:v>Nov 1, 2024</c:v>
                </c:pt>
                <c:pt idx="100">
                  <c:v>Oct 31, 2024</c:v>
                </c:pt>
                <c:pt idx="101">
                  <c:v>Oct 30, 2024</c:v>
                </c:pt>
                <c:pt idx="102">
                  <c:v>Oct 29, 2024</c:v>
                </c:pt>
                <c:pt idx="103">
                  <c:v>Oct 28, 2024</c:v>
                </c:pt>
                <c:pt idx="104">
                  <c:v>Oct 25, 2024</c:v>
                </c:pt>
                <c:pt idx="105">
                  <c:v>Oct 24, 2024</c:v>
                </c:pt>
                <c:pt idx="106">
                  <c:v>Oct 23, 2024</c:v>
                </c:pt>
                <c:pt idx="107">
                  <c:v>Oct 22, 2024</c:v>
                </c:pt>
                <c:pt idx="108">
                  <c:v>Oct 21, 2024</c:v>
                </c:pt>
                <c:pt idx="109">
                  <c:v>Oct 18, 2024</c:v>
                </c:pt>
                <c:pt idx="110">
                  <c:v>Oct 17, 2024</c:v>
                </c:pt>
                <c:pt idx="111">
                  <c:v>Oct 16, 2024</c:v>
                </c:pt>
                <c:pt idx="112">
                  <c:v>Oct 15, 2024</c:v>
                </c:pt>
                <c:pt idx="113">
                  <c:v>Oct 14, 2024</c:v>
                </c:pt>
                <c:pt idx="114">
                  <c:v>Oct 11, 2024</c:v>
                </c:pt>
                <c:pt idx="115">
                  <c:v>Oct 10, 2024</c:v>
                </c:pt>
                <c:pt idx="116">
                  <c:v>Oct 9, 2024</c:v>
                </c:pt>
                <c:pt idx="117">
                  <c:v>Oct 8, 2024</c:v>
                </c:pt>
                <c:pt idx="118">
                  <c:v>Oct 7, 2024</c:v>
                </c:pt>
                <c:pt idx="119">
                  <c:v>Oct 4, 2024</c:v>
                </c:pt>
                <c:pt idx="120">
                  <c:v>Oct 3, 2024</c:v>
                </c:pt>
                <c:pt idx="121">
                  <c:v>Oct 2, 2024</c:v>
                </c:pt>
                <c:pt idx="122">
                  <c:v>Oct 1, 2024</c:v>
                </c:pt>
                <c:pt idx="123">
                  <c:v>Sep 30, 2024</c:v>
                </c:pt>
                <c:pt idx="124">
                  <c:v>Sep 27, 2024</c:v>
                </c:pt>
                <c:pt idx="125">
                  <c:v>Sep 26, 2024</c:v>
                </c:pt>
                <c:pt idx="126">
                  <c:v>Sep 25, 2024</c:v>
                </c:pt>
                <c:pt idx="127">
                  <c:v>Sep 24, 2024</c:v>
                </c:pt>
                <c:pt idx="128">
                  <c:v>Sep 23, 2024</c:v>
                </c:pt>
                <c:pt idx="129">
                  <c:v>Sep 20, 2024</c:v>
                </c:pt>
                <c:pt idx="130">
                  <c:v>Sep 19, 2024</c:v>
                </c:pt>
                <c:pt idx="131">
                  <c:v>Sep 18, 2024</c:v>
                </c:pt>
                <c:pt idx="132">
                  <c:v>Sep 17, 2024</c:v>
                </c:pt>
                <c:pt idx="133">
                  <c:v>Sep 16, 2024</c:v>
                </c:pt>
                <c:pt idx="134">
                  <c:v>Sep 13, 2024</c:v>
                </c:pt>
                <c:pt idx="135">
                  <c:v>Sep 12, 2024</c:v>
                </c:pt>
                <c:pt idx="136">
                  <c:v>Sep 11, 2024</c:v>
                </c:pt>
                <c:pt idx="137">
                  <c:v>Sep 10, 2024</c:v>
                </c:pt>
                <c:pt idx="138">
                  <c:v>Sep 9, 2024</c:v>
                </c:pt>
                <c:pt idx="139">
                  <c:v>Sep 6, 2024</c:v>
                </c:pt>
                <c:pt idx="140">
                  <c:v>Sep 5, 2024</c:v>
                </c:pt>
                <c:pt idx="141">
                  <c:v>Sep 4, 2024</c:v>
                </c:pt>
                <c:pt idx="142">
                  <c:v>Sep 3, 2024</c:v>
                </c:pt>
                <c:pt idx="143">
                  <c:v>Aug 30, 2024</c:v>
                </c:pt>
                <c:pt idx="144">
                  <c:v>Aug 29, 2024</c:v>
                </c:pt>
                <c:pt idx="145">
                  <c:v>Aug 28, 2024</c:v>
                </c:pt>
                <c:pt idx="146">
                  <c:v>Aug 27, 2024</c:v>
                </c:pt>
                <c:pt idx="147">
                  <c:v>Aug 26, 2024</c:v>
                </c:pt>
                <c:pt idx="148">
                  <c:v>Aug 23, 2024</c:v>
                </c:pt>
                <c:pt idx="149">
                  <c:v>Aug 22, 2024</c:v>
                </c:pt>
                <c:pt idx="150">
                  <c:v>Aug 21, 2024</c:v>
                </c:pt>
                <c:pt idx="151">
                  <c:v>Aug 20, 2024</c:v>
                </c:pt>
                <c:pt idx="152">
                  <c:v>Aug 19, 2024</c:v>
                </c:pt>
                <c:pt idx="153">
                  <c:v>Aug 16, 2024</c:v>
                </c:pt>
                <c:pt idx="154">
                  <c:v>Aug 15, 2024</c:v>
                </c:pt>
                <c:pt idx="155">
                  <c:v>Aug 14, 2024</c:v>
                </c:pt>
                <c:pt idx="156">
                  <c:v>Aug 13, 2024</c:v>
                </c:pt>
                <c:pt idx="157">
                  <c:v>Aug 12, 2024</c:v>
                </c:pt>
                <c:pt idx="158">
                  <c:v>Aug 9, 2024</c:v>
                </c:pt>
                <c:pt idx="159">
                  <c:v>Aug 8, 2024</c:v>
                </c:pt>
                <c:pt idx="160">
                  <c:v>Aug 7, 2024</c:v>
                </c:pt>
                <c:pt idx="161">
                  <c:v>Aug 6, 2024</c:v>
                </c:pt>
                <c:pt idx="162">
                  <c:v>Aug 5, 2024</c:v>
                </c:pt>
                <c:pt idx="163">
                  <c:v>Aug 2, 2024</c:v>
                </c:pt>
                <c:pt idx="164">
                  <c:v>Aug 1, 2024</c:v>
                </c:pt>
                <c:pt idx="165">
                  <c:v>Jul 31, 2024</c:v>
                </c:pt>
                <c:pt idx="166">
                  <c:v>Jul 30, 2024</c:v>
                </c:pt>
                <c:pt idx="167">
                  <c:v>Jul 29, 2024</c:v>
                </c:pt>
                <c:pt idx="168">
                  <c:v>Jul 26, 2024</c:v>
                </c:pt>
                <c:pt idx="169">
                  <c:v>Jul 25, 2024</c:v>
                </c:pt>
                <c:pt idx="170">
                  <c:v>Jul 24, 2024</c:v>
                </c:pt>
                <c:pt idx="171">
                  <c:v>Jul 23, 2024</c:v>
                </c:pt>
                <c:pt idx="172">
                  <c:v>Jul 22, 2024</c:v>
                </c:pt>
                <c:pt idx="173">
                  <c:v>Jul 19, 2024</c:v>
                </c:pt>
                <c:pt idx="174">
                  <c:v>Jul 18, 2024</c:v>
                </c:pt>
                <c:pt idx="175">
                  <c:v>Jul 17, 2024</c:v>
                </c:pt>
                <c:pt idx="176">
                  <c:v>Jul 16, 2024</c:v>
                </c:pt>
                <c:pt idx="177">
                  <c:v>Jul 15, 2024</c:v>
                </c:pt>
                <c:pt idx="178">
                  <c:v>Jul 12, 2024</c:v>
                </c:pt>
                <c:pt idx="179">
                  <c:v>Jul 11, 2024</c:v>
                </c:pt>
                <c:pt idx="180">
                  <c:v>Jul 10, 2024</c:v>
                </c:pt>
                <c:pt idx="181">
                  <c:v>Jul 9, 2024</c:v>
                </c:pt>
                <c:pt idx="182">
                  <c:v>Jul 8, 2024</c:v>
                </c:pt>
                <c:pt idx="183">
                  <c:v>Jul 5, 2024</c:v>
                </c:pt>
                <c:pt idx="184">
                  <c:v>Jul 3, 2024</c:v>
                </c:pt>
                <c:pt idx="185">
                  <c:v>Jul 2, 2024</c:v>
                </c:pt>
                <c:pt idx="186">
                  <c:v>Jul 1, 2024</c:v>
                </c:pt>
              </c:strCache>
            </c:strRef>
          </c:cat>
          <c:val>
            <c:numRef>
              <c:f>'Moving Average Convergence Dive'!$G$2:$G$188</c:f>
              <c:numCache>
                <c:formatCode>General</c:formatCode>
                <c:ptCount val="187"/>
                <c:pt idx="0">
                  <c:v>-0.3698098496707824</c:v>
                </c:pt>
                <c:pt idx="1">
                  <c:v>-0.36613847802722621</c:v>
                </c:pt>
                <c:pt idx="2">
                  <c:v>-0.35310198216853772</c:v>
                </c:pt>
                <c:pt idx="3">
                  <c:v>-0.35337905500140498</c:v>
                </c:pt>
                <c:pt idx="4">
                  <c:v>-0.35894724956651514</c:v>
                </c:pt>
                <c:pt idx="5">
                  <c:v>-0.37118904584513324</c:v>
                </c:pt>
                <c:pt idx="6">
                  <c:v>-0.36953338368719385</c:v>
                </c:pt>
                <c:pt idx="7">
                  <c:v>-0.36527201389596314</c:v>
                </c:pt>
                <c:pt idx="8">
                  <c:v>-0.35717285468512511</c:v>
                </c:pt>
                <c:pt idx="9">
                  <c:v>-0.33447247773473554</c:v>
                </c:pt>
                <c:pt idx="10">
                  <c:v>-0.31836424053077816</c:v>
                </c:pt>
                <c:pt idx="11">
                  <c:v>-0.3073043535158333</c:v>
                </c:pt>
                <c:pt idx="12">
                  <c:v>-0.29418263026113145</c:v>
                </c:pt>
                <c:pt idx="13">
                  <c:v>-0.26239563529968135</c:v>
                </c:pt>
                <c:pt idx="14">
                  <c:v>-0.21343657316890186</c:v>
                </c:pt>
                <c:pt idx="15">
                  <c:v>-0.15611353014757831</c:v>
                </c:pt>
                <c:pt idx="16">
                  <c:v>-0.11167304374037001</c:v>
                </c:pt>
                <c:pt idx="17">
                  <c:v>-8.3285346421498388E-2</c:v>
                </c:pt>
                <c:pt idx="18">
                  <c:v>-6.4502546404518107E-2</c:v>
                </c:pt>
                <c:pt idx="19">
                  <c:v>-1.8913703337980058E-2</c:v>
                </c:pt>
                <c:pt idx="20">
                  <c:v>2.3580056313027765E-2</c:v>
                </c:pt>
                <c:pt idx="21">
                  <c:v>5.6428039399803107E-2</c:v>
                </c:pt>
                <c:pt idx="22">
                  <c:v>8.0262871020916463E-2</c:v>
                </c:pt>
                <c:pt idx="23">
                  <c:v>0.10802458434832218</c:v>
                </c:pt>
                <c:pt idx="24">
                  <c:v>0.12218709192838242</c:v>
                </c:pt>
                <c:pt idx="25">
                  <c:v>0.13893032578356562</c:v>
                </c:pt>
                <c:pt idx="26">
                  <c:v>0.13535600982953039</c:v>
                </c:pt>
                <c:pt idx="27">
                  <c:v>0.11940454757254142</c:v>
                </c:pt>
                <c:pt idx="28">
                  <c:v>7.9985880417605446E-2</c:v>
                </c:pt>
                <c:pt idx="29">
                  <c:v>2.5030260823265302E-2</c:v>
                </c:pt>
                <c:pt idx="30">
                  <c:v>-2.6948066306095357E-2</c:v>
                </c:pt>
                <c:pt idx="31">
                  <c:v>-8.6718518750212775E-2</c:v>
                </c:pt>
                <c:pt idx="32">
                  <c:v>-0.16575141116377304</c:v>
                </c:pt>
                <c:pt idx="33">
                  <c:v>-0.30051914814695346</c:v>
                </c:pt>
                <c:pt idx="34">
                  <c:v>-0.47379834987745229</c:v>
                </c:pt>
                <c:pt idx="35">
                  <c:v>-0.66855090275514928</c:v>
                </c:pt>
                <c:pt idx="36">
                  <c:v>-0.8688585825765236</c:v>
                </c:pt>
                <c:pt idx="37">
                  <c:v>-1.0673468314942895</c:v>
                </c:pt>
                <c:pt idx="38">
                  <c:v>-1.2410079121953164</c:v>
                </c:pt>
                <c:pt idx="39">
                  <c:v>-1.3852611660520764</c:v>
                </c:pt>
                <c:pt idx="40">
                  <c:v>-1.4912688623317858</c:v>
                </c:pt>
                <c:pt idx="41">
                  <c:v>-1.5836538253682957</c:v>
                </c:pt>
                <c:pt idx="42">
                  <c:v>-1.6665464587932086</c:v>
                </c:pt>
                <c:pt idx="43">
                  <c:v>-1.711414094677939</c:v>
                </c:pt>
                <c:pt idx="44">
                  <c:v>-1.756987727044544</c:v>
                </c:pt>
                <c:pt idx="45">
                  <c:v>-1.8028325110032595</c:v>
                </c:pt>
                <c:pt idx="46">
                  <c:v>-1.838346364240101</c:v>
                </c:pt>
                <c:pt idx="47">
                  <c:v>-1.8512820500987019</c:v>
                </c:pt>
                <c:pt idx="48">
                  <c:v>-1.8405418411336842</c:v>
                </c:pt>
                <c:pt idx="49">
                  <c:v>-1.818669123652578</c:v>
                </c:pt>
                <c:pt idx="50">
                  <c:v>-1.794318830186262</c:v>
                </c:pt>
                <c:pt idx="51">
                  <c:v>-1.7612948148364271</c:v>
                </c:pt>
                <c:pt idx="52">
                  <c:v>-1.7267733271680554</c:v>
                </c:pt>
                <c:pt idx="53">
                  <c:v>-1.6984408218395284</c:v>
                </c:pt>
                <c:pt idx="54">
                  <c:v>-1.661390771084617</c:v>
                </c:pt>
                <c:pt idx="55">
                  <c:v>-1.6309126528744866</c:v>
                </c:pt>
                <c:pt idx="56">
                  <c:v>-1.6029128606262313</c:v>
                </c:pt>
                <c:pt idx="57">
                  <c:v>-1.5592837168123905</c:v>
                </c:pt>
                <c:pt idx="58">
                  <c:v>-1.5031556896033813</c:v>
                </c:pt>
                <c:pt idx="59">
                  <c:v>-1.4321686219443046</c:v>
                </c:pt>
                <c:pt idx="60">
                  <c:v>-1.3558352245084662</c:v>
                </c:pt>
                <c:pt idx="61">
                  <c:v>-1.2705208406974848</c:v>
                </c:pt>
                <c:pt idx="62">
                  <c:v>-1.1792393656814686</c:v>
                </c:pt>
                <c:pt idx="63">
                  <c:v>-1.0820075418980497</c:v>
                </c:pt>
                <c:pt idx="64">
                  <c:v>-0.99101612493875613</c:v>
                </c:pt>
                <c:pt idx="65">
                  <c:v>-0.90373501759031127</c:v>
                </c:pt>
                <c:pt idx="66">
                  <c:v>-0.8228905269812562</c:v>
                </c:pt>
                <c:pt idx="67">
                  <c:v>-0.74206108448697861</c:v>
                </c:pt>
                <c:pt idx="68">
                  <c:v>-0.65501205070938495</c:v>
                </c:pt>
                <c:pt idx="69">
                  <c:v>-0.58069630040361675</c:v>
                </c:pt>
                <c:pt idx="70">
                  <c:v>-0.50783973849985853</c:v>
                </c:pt>
                <c:pt idx="71">
                  <c:v>-0.42723192416496347</c:v>
                </c:pt>
                <c:pt idx="72">
                  <c:v>-0.36400337680892914</c:v>
                </c:pt>
                <c:pt idx="73">
                  <c:v>-0.30984503260176399</c:v>
                </c:pt>
                <c:pt idx="74">
                  <c:v>-0.26845045534639944</c:v>
                </c:pt>
                <c:pt idx="75">
                  <c:v>-0.23773088830931863</c:v>
                </c:pt>
                <c:pt idx="76">
                  <c:v>-0.20854852232881035</c:v>
                </c:pt>
                <c:pt idx="77">
                  <c:v>-0.19271174309652001</c:v>
                </c:pt>
                <c:pt idx="78">
                  <c:v>-0.16488993944259217</c:v>
                </c:pt>
                <c:pt idx="79">
                  <c:v>-0.12856472799070845</c:v>
                </c:pt>
                <c:pt idx="80">
                  <c:v>-8.1660548996863674E-2</c:v>
                </c:pt>
                <c:pt idx="81">
                  <c:v>-3.2472425829395732E-2</c:v>
                </c:pt>
                <c:pt idx="82">
                  <c:v>1.7397703584738147E-2</c:v>
                </c:pt>
                <c:pt idx="83">
                  <c:v>6.248866727288506E-2</c:v>
                </c:pt>
                <c:pt idx="84">
                  <c:v>9.4738943994087083E-2</c:v>
                </c:pt>
                <c:pt idx="85">
                  <c:v>0.11464122248282907</c:v>
                </c:pt>
                <c:pt idx="86">
                  <c:v>0.11337405791367969</c:v>
                </c:pt>
                <c:pt idx="87">
                  <c:v>9.2264554623746317E-2</c:v>
                </c:pt>
                <c:pt idx="88">
                  <c:v>4.8127383807498467E-2</c:v>
                </c:pt>
                <c:pt idx="89">
                  <c:v>-9.9940172646357933E-3</c:v>
                </c:pt>
                <c:pt idx="90">
                  <c:v>-6.1206876065420364E-2</c:v>
                </c:pt>
                <c:pt idx="91">
                  <c:v>-9.8085941696735429E-2</c:v>
                </c:pt>
                <c:pt idx="92">
                  <c:v>-0.12079270516777389</c:v>
                </c:pt>
                <c:pt idx="93">
                  <c:v>-0.13059820058393481</c:v>
                </c:pt>
                <c:pt idx="94">
                  <c:v>-0.12273082235850732</c:v>
                </c:pt>
                <c:pt idx="95">
                  <c:v>-0.10790772590034978</c:v>
                </c:pt>
                <c:pt idx="96">
                  <c:v>-8.8617851045921167E-2</c:v>
                </c:pt>
                <c:pt idx="97">
                  <c:v>-4.1172272970141081E-2</c:v>
                </c:pt>
                <c:pt idx="98">
                  <c:v>1.7538814765124096E-2</c:v>
                </c:pt>
                <c:pt idx="99">
                  <c:v>7.8597757369180427E-2</c:v>
                </c:pt>
                <c:pt idx="100">
                  <c:v>0.14237511969210842</c:v>
                </c:pt>
                <c:pt idx="101">
                  <c:v>0.21376116798556688</c:v>
                </c:pt>
                <c:pt idx="102">
                  <c:v>0.28010276810389473</c:v>
                </c:pt>
                <c:pt idx="103">
                  <c:v>0.35655677205359393</c:v>
                </c:pt>
                <c:pt idx="104">
                  <c:v>0.43851712857475611</c:v>
                </c:pt>
                <c:pt idx="105">
                  <c:v>0.52453592755424616</c:v>
                </c:pt>
                <c:pt idx="106">
                  <c:v>0.61856179974617553</c:v>
                </c:pt>
                <c:pt idx="107">
                  <c:v>0.73392280190564696</c:v>
                </c:pt>
                <c:pt idx="108">
                  <c:v>0.85493607731754473</c:v>
                </c:pt>
                <c:pt idx="109">
                  <c:v>0.98683512761861747</c:v>
                </c:pt>
                <c:pt idx="110">
                  <c:v>1.1079377672301849</c:v>
                </c:pt>
                <c:pt idx="111">
                  <c:v>1.2239297255473687</c:v>
                </c:pt>
                <c:pt idx="112">
                  <c:v>1.3241788186274055</c:v>
                </c:pt>
                <c:pt idx="113">
                  <c:v>1.4062872942722662</c:v>
                </c:pt>
                <c:pt idx="114">
                  <c:v>1.4573907510481194</c:v>
                </c:pt>
                <c:pt idx="115">
                  <c:v>1.4781143777479169</c:v>
                </c:pt>
                <c:pt idx="116">
                  <c:v>1.4802870960425669</c:v>
                </c:pt>
                <c:pt idx="117">
                  <c:v>1.4612820150705832</c:v>
                </c:pt>
                <c:pt idx="118">
                  <c:v>1.4239565695378271</c:v>
                </c:pt>
                <c:pt idx="119">
                  <c:v>1.3920474850842779</c:v>
                </c:pt>
                <c:pt idx="120">
                  <c:v>1.3676172855404256</c:v>
                </c:pt>
                <c:pt idx="121">
                  <c:v>1.3536964208208129</c:v>
                </c:pt>
                <c:pt idx="122">
                  <c:v>1.3550155573419906</c:v>
                </c:pt>
                <c:pt idx="123">
                  <c:v>1.3651224879233108</c:v>
                </c:pt>
                <c:pt idx="124">
                  <c:v>1.3759794161690073</c:v>
                </c:pt>
                <c:pt idx="125">
                  <c:v>1.3773789326583152</c:v>
                </c:pt>
                <c:pt idx="126">
                  <c:v>1.3704357573073522</c:v>
                </c:pt>
                <c:pt idx="127">
                  <c:v>1.3535894868445699</c:v>
                </c:pt>
                <c:pt idx="128">
                  <c:v>1.3347159196935796</c:v>
                </c:pt>
                <c:pt idx="129">
                  <c:v>1.3110830808286811</c:v>
                </c:pt>
                <c:pt idx="130">
                  <c:v>1.2666039114606211</c:v>
                </c:pt>
                <c:pt idx="131">
                  <c:v>1.2263724368974298</c:v>
                </c:pt>
                <c:pt idx="132">
                  <c:v>1.188914905466764</c:v>
                </c:pt>
                <c:pt idx="133">
                  <c:v>1.1570766166090527</c:v>
                </c:pt>
                <c:pt idx="134">
                  <c:v>1.1169431613346597</c:v>
                </c:pt>
                <c:pt idx="135">
                  <c:v>1.0607982087278169</c:v>
                </c:pt>
                <c:pt idx="136">
                  <c:v>0.9927498348897611</c:v>
                </c:pt>
                <c:pt idx="137">
                  <c:v>0.92588418908544301</c:v>
                </c:pt>
                <c:pt idx="138">
                  <c:v>0.86578156521546445</c:v>
                </c:pt>
                <c:pt idx="139">
                  <c:v>0.80008671300528578</c:v>
                </c:pt>
                <c:pt idx="140">
                  <c:v>0.73298566613818283</c:v>
                </c:pt>
                <c:pt idx="141">
                  <c:v>0.68854817455575323</c:v>
                </c:pt>
                <c:pt idx="142">
                  <c:v>0.66609584954910683</c:v>
                </c:pt>
                <c:pt idx="143">
                  <c:v>0.64862638137196449</c:v>
                </c:pt>
                <c:pt idx="144">
                  <c:v>0.62717618844226819</c:v>
                </c:pt>
                <c:pt idx="145">
                  <c:v>0.59829916689032081</c:v>
                </c:pt>
                <c:pt idx="146">
                  <c:v>0.56092868541287244</c:v>
                </c:pt>
                <c:pt idx="147">
                  <c:v>0.50870439404153323</c:v>
                </c:pt>
                <c:pt idx="148">
                  <c:v>0.43231521739766643</c:v>
                </c:pt>
                <c:pt idx="149">
                  <c:v>0.33661958467509223</c:v>
                </c:pt>
                <c:pt idx="150">
                  <c:v>0.23674185405234391</c:v>
                </c:pt>
                <c:pt idx="151">
                  <c:v>0.13606724372070295</c:v>
                </c:pt>
                <c:pt idx="152">
                  <c:v>3.3638347061909768E-2</c:v>
                </c:pt>
                <c:pt idx="153">
                  <c:v>-6.1565939827940452E-2</c:v>
                </c:pt>
                <c:pt idx="154">
                  <c:v>-0.15540719030809724</c:v>
                </c:pt>
                <c:pt idx="155">
                  <c:v>-0.2440778630924858</c:v>
                </c:pt>
                <c:pt idx="156">
                  <c:v>-0.32621768185187283</c:v>
                </c:pt>
                <c:pt idx="157">
                  <c:v>-0.40384144734586325</c:v>
                </c:pt>
                <c:pt idx="158">
                  <c:v>-0.46566782776477134</c:v>
                </c:pt>
                <c:pt idx="159">
                  <c:v>-0.512492600267904</c:v>
                </c:pt>
                <c:pt idx="160">
                  <c:v>-0.55044009745552902</c:v>
                </c:pt>
                <c:pt idx="161">
                  <c:v>-0.58596142200603718</c:v>
                </c:pt>
                <c:pt idx="162">
                  <c:v>-0.61596673661495116</c:v>
                </c:pt>
                <c:pt idx="163">
                  <c:v>-0.62039258294680955</c:v>
                </c:pt>
                <c:pt idx="164">
                  <c:v>-0.62851862113104162</c:v>
                </c:pt>
                <c:pt idx="165">
                  <c:v>-0.65625066560595136</c:v>
                </c:pt>
                <c:pt idx="166">
                  <c:v>-0.67864382470514972</c:v>
                </c:pt>
                <c:pt idx="167">
                  <c:v>-0.70821218616946036</c:v>
                </c:pt>
                <c:pt idx="168">
                  <c:v>-0.73560367276324889</c:v>
                </c:pt>
                <c:pt idx="169">
                  <c:v>-0.77383447912042269</c:v>
                </c:pt>
                <c:pt idx="170">
                  <c:v>-0.81923946190972452</c:v>
                </c:pt>
                <c:pt idx="171">
                  <c:v>-0.87813582806716417</c:v>
                </c:pt>
                <c:pt idx="172">
                  <c:v>-0.94327123280363501</c:v>
                </c:pt>
                <c:pt idx="173">
                  <c:v>-0.99861598242327698</c:v>
                </c:pt>
                <c:pt idx="174">
                  <c:v>-1.0442422696365292</c:v>
                </c:pt>
                <c:pt idx="175">
                  <c:v>-1.0786862798416952</c:v>
                </c:pt>
                <c:pt idx="176">
                  <c:v>-1.1165353619744176</c:v>
                </c:pt>
                <c:pt idx="177">
                  <c:v>-1.1653914652559736</c:v>
                </c:pt>
                <c:pt idx="178">
                  <c:v>-1.2114620391362718</c:v>
                </c:pt>
                <c:pt idx="179">
                  <c:v>-1.2600235399140529</c:v>
                </c:pt>
                <c:pt idx="180">
                  <c:v>-1.3088769309231831</c:v>
                </c:pt>
                <c:pt idx="181">
                  <c:v>-1.3546027205408346</c:v>
                </c:pt>
                <c:pt idx="182">
                  <c:v>-1.3885760628322095</c:v>
                </c:pt>
                <c:pt idx="183">
                  <c:v>-1.3977929699093168</c:v>
                </c:pt>
                <c:pt idx="184">
                  <c:v>-1.3945248592847566</c:v>
                </c:pt>
                <c:pt idx="185">
                  <c:v>-1.383296091833123</c:v>
                </c:pt>
                <c:pt idx="186">
                  <c:v>-1.3624394837709126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6D-4798-9DC1-C0505331A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0667600"/>
        <c:axId val="32066664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'Moving Average Convergence Dive'!$H$1</c15:sqref>
                        </c15:formulaRef>
                      </c:ext>
                    </c:extLst>
                    <c:strCache>
                      <c:ptCount val="1"/>
                      <c:pt idx="0">
                        <c:v>MACD Histogram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'Moving Average Convergence Dive'!$A$2:$A$188</c15:sqref>
                        </c15:formulaRef>
                      </c:ext>
                    </c:extLst>
                    <c:strCache>
                      <c:ptCount val="187"/>
                      <c:pt idx="0">
                        <c:v>Mar 28, 2025</c:v>
                      </c:pt>
                      <c:pt idx="1">
                        <c:v>Mar 27, 2025</c:v>
                      </c:pt>
                      <c:pt idx="2">
                        <c:v>Mar 26, 2025</c:v>
                      </c:pt>
                      <c:pt idx="3">
                        <c:v>Mar 25, 2025</c:v>
                      </c:pt>
                      <c:pt idx="4">
                        <c:v>Mar 24, 2025</c:v>
                      </c:pt>
                      <c:pt idx="5">
                        <c:v>Mar 21, 2025</c:v>
                      </c:pt>
                      <c:pt idx="6">
                        <c:v>Mar 20, 2025</c:v>
                      </c:pt>
                      <c:pt idx="7">
                        <c:v>Mar 19, 2025</c:v>
                      </c:pt>
                      <c:pt idx="8">
                        <c:v>Mar 18, 2025</c:v>
                      </c:pt>
                      <c:pt idx="9">
                        <c:v>Mar 17, 2025</c:v>
                      </c:pt>
                      <c:pt idx="10">
                        <c:v>Mar 14, 2025</c:v>
                      </c:pt>
                      <c:pt idx="11">
                        <c:v>Mar 13, 2025</c:v>
                      </c:pt>
                      <c:pt idx="12">
                        <c:v>Mar 12, 2025</c:v>
                      </c:pt>
                      <c:pt idx="13">
                        <c:v>Mar 11, 2025</c:v>
                      </c:pt>
                      <c:pt idx="14">
                        <c:v>Mar 10, 2025</c:v>
                      </c:pt>
                      <c:pt idx="15">
                        <c:v>Mar 7, 2025</c:v>
                      </c:pt>
                      <c:pt idx="16">
                        <c:v>Mar 6, 2025</c:v>
                      </c:pt>
                      <c:pt idx="17">
                        <c:v>Mar 5, 2025</c:v>
                      </c:pt>
                      <c:pt idx="18">
                        <c:v>Mar 4, 2025</c:v>
                      </c:pt>
                      <c:pt idx="19">
                        <c:v>Mar 3, 2025</c:v>
                      </c:pt>
                      <c:pt idx="20">
                        <c:v>Feb 28, 2025</c:v>
                      </c:pt>
                      <c:pt idx="21">
                        <c:v>Feb 27, 2025</c:v>
                      </c:pt>
                      <c:pt idx="22">
                        <c:v>Feb 26, 2025</c:v>
                      </c:pt>
                      <c:pt idx="23">
                        <c:v>Feb 25, 2025</c:v>
                      </c:pt>
                      <c:pt idx="24">
                        <c:v>Feb 24, 2025</c:v>
                      </c:pt>
                      <c:pt idx="25">
                        <c:v>Feb 21, 2025</c:v>
                      </c:pt>
                      <c:pt idx="26">
                        <c:v>Feb 20, 2025</c:v>
                      </c:pt>
                      <c:pt idx="27">
                        <c:v>Feb 19, 2025</c:v>
                      </c:pt>
                      <c:pt idx="28">
                        <c:v>Feb 18, 2025</c:v>
                      </c:pt>
                      <c:pt idx="29">
                        <c:v>Feb 14, 2025</c:v>
                      </c:pt>
                      <c:pt idx="30">
                        <c:v>Feb 13, 2025</c:v>
                      </c:pt>
                      <c:pt idx="31">
                        <c:v>Feb 12, 2025</c:v>
                      </c:pt>
                      <c:pt idx="32">
                        <c:v>Feb 11, 2025</c:v>
                      </c:pt>
                      <c:pt idx="33">
                        <c:v>Feb 10, 2025</c:v>
                      </c:pt>
                      <c:pt idx="34">
                        <c:v>Feb 7, 2025</c:v>
                      </c:pt>
                      <c:pt idx="35">
                        <c:v>Feb 6, 2025</c:v>
                      </c:pt>
                      <c:pt idx="36">
                        <c:v>Feb 5, 2025</c:v>
                      </c:pt>
                      <c:pt idx="37">
                        <c:v>Feb 4, 2025</c:v>
                      </c:pt>
                      <c:pt idx="38">
                        <c:v>Feb 3, 2025</c:v>
                      </c:pt>
                      <c:pt idx="39">
                        <c:v>Jan 31, 2025</c:v>
                      </c:pt>
                      <c:pt idx="40">
                        <c:v>Jan 30, 2025</c:v>
                      </c:pt>
                      <c:pt idx="41">
                        <c:v>Jan 29, 2025</c:v>
                      </c:pt>
                      <c:pt idx="42">
                        <c:v>Jan 28, 2025</c:v>
                      </c:pt>
                      <c:pt idx="43">
                        <c:v>Jan 27, 2025</c:v>
                      </c:pt>
                      <c:pt idx="44">
                        <c:v>Jan 24, 2025</c:v>
                      </c:pt>
                      <c:pt idx="45">
                        <c:v>Jan 23, 2025</c:v>
                      </c:pt>
                      <c:pt idx="46">
                        <c:v>Jan 22, 2025</c:v>
                      </c:pt>
                      <c:pt idx="47">
                        <c:v>Jan 21, 2025</c:v>
                      </c:pt>
                      <c:pt idx="48">
                        <c:v>Jan 17, 2025</c:v>
                      </c:pt>
                      <c:pt idx="49">
                        <c:v>Jan 16, 2025</c:v>
                      </c:pt>
                      <c:pt idx="50">
                        <c:v>Jan 15, 2025</c:v>
                      </c:pt>
                      <c:pt idx="51">
                        <c:v>Jan 14, 2025</c:v>
                      </c:pt>
                      <c:pt idx="52">
                        <c:v>Jan 13, 2025</c:v>
                      </c:pt>
                      <c:pt idx="53">
                        <c:v>Jan 10, 2025</c:v>
                      </c:pt>
                      <c:pt idx="54">
                        <c:v>Jan 8, 2025</c:v>
                      </c:pt>
                      <c:pt idx="55">
                        <c:v>Jan 7, 2025</c:v>
                      </c:pt>
                      <c:pt idx="56">
                        <c:v>Jan 6, 2025</c:v>
                      </c:pt>
                      <c:pt idx="57">
                        <c:v>Jan 3, 2025</c:v>
                      </c:pt>
                      <c:pt idx="58">
                        <c:v>Jan 2, 2025</c:v>
                      </c:pt>
                      <c:pt idx="59">
                        <c:v>Dec 31, 2024</c:v>
                      </c:pt>
                      <c:pt idx="60">
                        <c:v>Dec 30, 2024</c:v>
                      </c:pt>
                      <c:pt idx="61">
                        <c:v>Dec 27, 2024</c:v>
                      </c:pt>
                      <c:pt idx="62">
                        <c:v>Dec 26, 2024</c:v>
                      </c:pt>
                      <c:pt idx="63">
                        <c:v>Dec 24, 2024</c:v>
                      </c:pt>
                      <c:pt idx="64">
                        <c:v>Dec 23, 2024</c:v>
                      </c:pt>
                      <c:pt idx="65">
                        <c:v>Dec 20, 2024</c:v>
                      </c:pt>
                      <c:pt idx="66">
                        <c:v>Dec 19, 2024</c:v>
                      </c:pt>
                      <c:pt idx="67">
                        <c:v>Dec 18, 2024</c:v>
                      </c:pt>
                      <c:pt idx="68">
                        <c:v>Dec 17, 2024</c:v>
                      </c:pt>
                      <c:pt idx="69">
                        <c:v>Dec 16, 2024</c:v>
                      </c:pt>
                      <c:pt idx="70">
                        <c:v>Dec 13, 2024</c:v>
                      </c:pt>
                      <c:pt idx="71">
                        <c:v>Dec 12, 2024</c:v>
                      </c:pt>
                      <c:pt idx="72">
                        <c:v>Dec 11, 2024</c:v>
                      </c:pt>
                      <c:pt idx="73">
                        <c:v>Dec 10, 2024</c:v>
                      </c:pt>
                      <c:pt idx="74">
                        <c:v>Dec 9, 2024</c:v>
                      </c:pt>
                      <c:pt idx="75">
                        <c:v>Dec 6, 2024</c:v>
                      </c:pt>
                      <c:pt idx="76">
                        <c:v>Dec 5, 2024</c:v>
                      </c:pt>
                      <c:pt idx="77">
                        <c:v>Dec 4, 2024</c:v>
                      </c:pt>
                      <c:pt idx="78">
                        <c:v>Dec 3, 2024</c:v>
                      </c:pt>
                      <c:pt idx="79">
                        <c:v>Dec 2, 2024</c:v>
                      </c:pt>
                      <c:pt idx="80">
                        <c:v>Nov 29, 2024</c:v>
                      </c:pt>
                      <c:pt idx="81">
                        <c:v>Nov 27, 2024</c:v>
                      </c:pt>
                      <c:pt idx="82">
                        <c:v>Nov 26, 2024</c:v>
                      </c:pt>
                      <c:pt idx="83">
                        <c:v>Nov 25, 2024</c:v>
                      </c:pt>
                      <c:pt idx="84">
                        <c:v>Nov 22, 2024</c:v>
                      </c:pt>
                      <c:pt idx="85">
                        <c:v>Nov 21, 2024</c:v>
                      </c:pt>
                      <c:pt idx="86">
                        <c:v>Nov 20, 2024</c:v>
                      </c:pt>
                      <c:pt idx="87">
                        <c:v>Nov 19, 2024</c:v>
                      </c:pt>
                      <c:pt idx="88">
                        <c:v>Nov 18, 2024</c:v>
                      </c:pt>
                      <c:pt idx="89">
                        <c:v>Nov 15, 2024</c:v>
                      </c:pt>
                      <c:pt idx="90">
                        <c:v>Nov 14, 2024</c:v>
                      </c:pt>
                      <c:pt idx="91">
                        <c:v>Nov 13, 2024</c:v>
                      </c:pt>
                      <c:pt idx="92">
                        <c:v>Nov 12, 2024</c:v>
                      </c:pt>
                      <c:pt idx="93">
                        <c:v>Nov 11, 2024</c:v>
                      </c:pt>
                      <c:pt idx="94">
                        <c:v>Nov 8, 2024</c:v>
                      </c:pt>
                      <c:pt idx="95">
                        <c:v>Nov 7, 2024</c:v>
                      </c:pt>
                      <c:pt idx="96">
                        <c:v>Nov 6, 2024</c:v>
                      </c:pt>
                      <c:pt idx="97">
                        <c:v>Nov 5, 2024</c:v>
                      </c:pt>
                      <c:pt idx="98">
                        <c:v>Nov 4, 2024</c:v>
                      </c:pt>
                      <c:pt idx="99">
                        <c:v>Nov 1, 2024</c:v>
                      </c:pt>
                      <c:pt idx="100">
                        <c:v>Oct 31, 2024</c:v>
                      </c:pt>
                      <c:pt idx="101">
                        <c:v>Oct 30, 2024</c:v>
                      </c:pt>
                      <c:pt idx="102">
                        <c:v>Oct 29, 2024</c:v>
                      </c:pt>
                      <c:pt idx="103">
                        <c:v>Oct 28, 2024</c:v>
                      </c:pt>
                      <c:pt idx="104">
                        <c:v>Oct 25, 2024</c:v>
                      </c:pt>
                      <c:pt idx="105">
                        <c:v>Oct 24, 2024</c:v>
                      </c:pt>
                      <c:pt idx="106">
                        <c:v>Oct 23, 2024</c:v>
                      </c:pt>
                      <c:pt idx="107">
                        <c:v>Oct 22, 2024</c:v>
                      </c:pt>
                      <c:pt idx="108">
                        <c:v>Oct 21, 2024</c:v>
                      </c:pt>
                      <c:pt idx="109">
                        <c:v>Oct 18, 2024</c:v>
                      </c:pt>
                      <c:pt idx="110">
                        <c:v>Oct 17, 2024</c:v>
                      </c:pt>
                      <c:pt idx="111">
                        <c:v>Oct 16, 2024</c:v>
                      </c:pt>
                      <c:pt idx="112">
                        <c:v>Oct 15, 2024</c:v>
                      </c:pt>
                      <c:pt idx="113">
                        <c:v>Oct 14, 2024</c:v>
                      </c:pt>
                      <c:pt idx="114">
                        <c:v>Oct 11, 2024</c:v>
                      </c:pt>
                      <c:pt idx="115">
                        <c:v>Oct 10, 2024</c:v>
                      </c:pt>
                      <c:pt idx="116">
                        <c:v>Oct 9, 2024</c:v>
                      </c:pt>
                      <c:pt idx="117">
                        <c:v>Oct 8, 2024</c:v>
                      </c:pt>
                      <c:pt idx="118">
                        <c:v>Oct 7, 2024</c:v>
                      </c:pt>
                      <c:pt idx="119">
                        <c:v>Oct 4, 2024</c:v>
                      </c:pt>
                      <c:pt idx="120">
                        <c:v>Oct 3, 2024</c:v>
                      </c:pt>
                      <c:pt idx="121">
                        <c:v>Oct 2, 2024</c:v>
                      </c:pt>
                      <c:pt idx="122">
                        <c:v>Oct 1, 2024</c:v>
                      </c:pt>
                      <c:pt idx="123">
                        <c:v>Sep 30, 2024</c:v>
                      </c:pt>
                      <c:pt idx="124">
                        <c:v>Sep 27, 2024</c:v>
                      </c:pt>
                      <c:pt idx="125">
                        <c:v>Sep 26, 2024</c:v>
                      </c:pt>
                      <c:pt idx="126">
                        <c:v>Sep 25, 2024</c:v>
                      </c:pt>
                      <c:pt idx="127">
                        <c:v>Sep 24, 2024</c:v>
                      </c:pt>
                      <c:pt idx="128">
                        <c:v>Sep 23, 2024</c:v>
                      </c:pt>
                      <c:pt idx="129">
                        <c:v>Sep 20, 2024</c:v>
                      </c:pt>
                      <c:pt idx="130">
                        <c:v>Sep 19, 2024</c:v>
                      </c:pt>
                      <c:pt idx="131">
                        <c:v>Sep 18, 2024</c:v>
                      </c:pt>
                      <c:pt idx="132">
                        <c:v>Sep 17, 2024</c:v>
                      </c:pt>
                      <c:pt idx="133">
                        <c:v>Sep 16, 2024</c:v>
                      </c:pt>
                      <c:pt idx="134">
                        <c:v>Sep 13, 2024</c:v>
                      </c:pt>
                      <c:pt idx="135">
                        <c:v>Sep 12, 2024</c:v>
                      </c:pt>
                      <c:pt idx="136">
                        <c:v>Sep 11, 2024</c:v>
                      </c:pt>
                      <c:pt idx="137">
                        <c:v>Sep 10, 2024</c:v>
                      </c:pt>
                      <c:pt idx="138">
                        <c:v>Sep 9, 2024</c:v>
                      </c:pt>
                      <c:pt idx="139">
                        <c:v>Sep 6, 2024</c:v>
                      </c:pt>
                      <c:pt idx="140">
                        <c:v>Sep 5, 2024</c:v>
                      </c:pt>
                      <c:pt idx="141">
                        <c:v>Sep 4, 2024</c:v>
                      </c:pt>
                      <c:pt idx="142">
                        <c:v>Sep 3, 2024</c:v>
                      </c:pt>
                      <c:pt idx="143">
                        <c:v>Aug 30, 2024</c:v>
                      </c:pt>
                      <c:pt idx="144">
                        <c:v>Aug 29, 2024</c:v>
                      </c:pt>
                      <c:pt idx="145">
                        <c:v>Aug 28, 2024</c:v>
                      </c:pt>
                      <c:pt idx="146">
                        <c:v>Aug 27, 2024</c:v>
                      </c:pt>
                      <c:pt idx="147">
                        <c:v>Aug 26, 2024</c:v>
                      </c:pt>
                      <c:pt idx="148">
                        <c:v>Aug 23, 2024</c:v>
                      </c:pt>
                      <c:pt idx="149">
                        <c:v>Aug 22, 2024</c:v>
                      </c:pt>
                      <c:pt idx="150">
                        <c:v>Aug 21, 2024</c:v>
                      </c:pt>
                      <c:pt idx="151">
                        <c:v>Aug 20, 2024</c:v>
                      </c:pt>
                      <c:pt idx="152">
                        <c:v>Aug 19, 2024</c:v>
                      </c:pt>
                      <c:pt idx="153">
                        <c:v>Aug 16, 2024</c:v>
                      </c:pt>
                      <c:pt idx="154">
                        <c:v>Aug 15, 2024</c:v>
                      </c:pt>
                      <c:pt idx="155">
                        <c:v>Aug 14, 2024</c:v>
                      </c:pt>
                      <c:pt idx="156">
                        <c:v>Aug 13, 2024</c:v>
                      </c:pt>
                      <c:pt idx="157">
                        <c:v>Aug 12, 2024</c:v>
                      </c:pt>
                      <c:pt idx="158">
                        <c:v>Aug 9, 2024</c:v>
                      </c:pt>
                      <c:pt idx="159">
                        <c:v>Aug 8, 2024</c:v>
                      </c:pt>
                      <c:pt idx="160">
                        <c:v>Aug 7, 2024</c:v>
                      </c:pt>
                      <c:pt idx="161">
                        <c:v>Aug 6, 2024</c:v>
                      </c:pt>
                      <c:pt idx="162">
                        <c:v>Aug 5, 2024</c:v>
                      </c:pt>
                      <c:pt idx="163">
                        <c:v>Aug 2, 2024</c:v>
                      </c:pt>
                      <c:pt idx="164">
                        <c:v>Aug 1, 2024</c:v>
                      </c:pt>
                      <c:pt idx="165">
                        <c:v>Jul 31, 2024</c:v>
                      </c:pt>
                      <c:pt idx="166">
                        <c:v>Jul 30, 2024</c:v>
                      </c:pt>
                      <c:pt idx="167">
                        <c:v>Jul 29, 2024</c:v>
                      </c:pt>
                      <c:pt idx="168">
                        <c:v>Jul 26, 2024</c:v>
                      </c:pt>
                      <c:pt idx="169">
                        <c:v>Jul 25, 2024</c:v>
                      </c:pt>
                      <c:pt idx="170">
                        <c:v>Jul 24, 2024</c:v>
                      </c:pt>
                      <c:pt idx="171">
                        <c:v>Jul 23, 2024</c:v>
                      </c:pt>
                      <c:pt idx="172">
                        <c:v>Jul 22, 2024</c:v>
                      </c:pt>
                      <c:pt idx="173">
                        <c:v>Jul 19, 2024</c:v>
                      </c:pt>
                      <c:pt idx="174">
                        <c:v>Jul 18, 2024</c:v>
                      </c:pt>
                      <c:pt idx="175">
                        <c:v>Jul 17, 2024</c:v>
                      </c:pt>
                      <c:pt idx="176">
                        <c:v>Jul 16, 2024</c:v>
                      </c:pt>
                      <c:pt idx="177">
                        <c:v>Jul 15, 2024</c:v>
                      </c:pt>
                      <c:pt idx="178">
                        <c:v>Jul 12, 2024</c:v>
                      </c:pt>
                      <c:pt idx="179">
                        <c:v>Jul 11, 2024</c:v>
                      </c:pt>
                      <c:pt idx="180">
                        <c:v>Jul 10, 2024</c:v>
                      </c:pt>
                      <c:pt idx="181">
                        <c:v>Jul 9, 2024</c:v>
                      </c:pt>
                      <c:pt idx="182">
                        <c:v>Jul 8, 2024</c:v>
                      </c:pt>
                      <c:pt idx="183">
                        <c:v>Jul 5, 2024</c:v>
                      </c:pt>
                      <c:pt idx="184">
                        <c:v>Jul 3, 2024</c:v>
                      </c:pt>
                      <c:pt idx="185">
                        <c:v>Jul 2, 2024</c:v>
                      </c:pt>
                      <c:pt idx="186">
                        <c:v>Jul 1, 2024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'Moving Average Convergence Dive'!$H$2:$H$188</c15:sqref>
                        </c15:formulaRef>
                      </c:ext>
                    </c:extLst>
                    <c:numCache>
                      <c:formatCode>General</c:formatCode>
                      <c:ptCount val="187"/>
                      <c:pt idx="0">
                        <c:v>-0.11429271443178851</c:v>
                      </c:pt>
                      <c:pt idx="1">
                        <c:v>1.4685486574224638E-2</c:v>
                      </c:pt>
                      <c:pt idx="2">
                        <c:v>5.2145983434753962E-2</c:v>
                      </c:pt>
                      <c:pt idx="3">
                        <c:v>-1.1082913314691689E-3</c:v>
                      </c:pt>
                      <c:pt idx="4">
                        <c:v>-2.2272778260440607E-2</c:v>
                      </c:pt>
                      <c:pt idx="5">
                        <c:v>-4.89671851144724E-2</c:v>
                      </c:pt>
                      <c:pt idx="6">
                        <c:v>6.6226486317574884E-3</c:v>
                      </c:pt>
                      <c:pt idx="7">
                        <c:v>1.7045479164922883E-2</c:v>
                      </c:pt>
                      <c:pt idx="8">
                        <c:v>3.2396636843352089E-2</c:v>
                      </c:pt>
                      <c:pt idx="9">
                        <c:v>9.0801507801558379E-2</c:v>
                      </c:pt>
                      <c:pt idx="10">
                        <c:v>6.4432948815829394E-2</c:v>
                      </c:pt>
                      <c:pt idx="11">
                        <c:v>4.4239548059779477E-2</c:v>
                      </c:pt>
                      <c:pt idx="12">
                        <c:v>5.2486893018807379E-2</c:v>
                      </c:pt>
                      <c:pt idx="13">
                        <c:v>0.12714797984580029</c:v>
                      </c:pt>
                      <c:pt idx="14">
                        <c:v>0.19583624852311798</c:v>
                      </c:pt>
                      <c:pt idx="15">
                        <c:v>0.22929217208529415</c:v>
                      </c:pt>
                      <c:pt idx="16">
                        <c:v>0.17776194562883318</c:v>
                      </c:pt>
                      <c:pt idx="17">
                        <c:v>0.11355078927548652</c:v>
                      </c:pt>
                      <c:pt idx="18">
                        <c:v>7.513120006792115E-2</c:v>
                      </c:pt>
                      <c:pt idx="19">
                        <c:v>0.1823553722661522</c:v>
                      </c:pt>
                      <c:pt idx="20">
                        <c:v>0.16997503860403126</c:v>
                      </c:pt>
                      <c:pt idx="21">
                        <c:v>0.13139193234710134</c:v>
                      </c:pt>
                      <c:pt idx="22">
                        <c:v>9.533932648445341E-2</c:v>
                      </c:pt>
                      <c:pt idx="23">
                        <c:v>0.11104685330962283</c:v>
                      </c:pt>
                      <c:pt idx="24">
                        <c:v>5.6650030320240935E-2</c:v>
                      </c:pt>
                      <c:pt idx="25">
                        <c:v>6.6972935420732738E-2</c:v>
                      </c:pt>
                      <c:pt idx="26">
                        <c:v>-1.4297263816140993E-2</c:v>
                      </c:pt>
                      <c:pt idx="27">
                        <c:v>-6.3805849027955872E-2</c:v>
                      </c:pt>
                      <c:pt idx="28">
                        <c:v>-0.15767466861974389</c:v>
                      </c:pt>
                      <c:pt idx="29">
                        <c:v>-0.21982247837736058</c:v>
                      </c:pt>
                      <c:pt idx="30">
                        <c:v>-0.20791330851744261</c:v>
                      </c:pt>
                      <c:pt idx="31">
                        <c:v>-0.23908180977646962</c:v>
                      </c:pt>
                      <c:pt idx="32">
                        <c:v>-0.31613156965424105</c:v>
                      </c:pt>
                      <c:pt idx="33">
                        <c:v>-0.5390709479327217</c:v>
                      </c:pt>
                      <c:pt idx="34">
                        <c:v>-0.69311680692199529</c:v>
                      </c:pt>
                      <c:pt idx="35">
                        <c:v>-0.7790102115107882</c:v>
                      </c:pt>
                      <c:pt idx="36">
                        <c:v>-0.80123071928549705</c:v>
                      </c:pt>
                      <c:pt idx="37">
                        <c:v>-0.79395299567106425</c:v>
                      </c:pt>
                      <c:pt idx="38">
                        <c:v>-0.69464432280410726</c:v>
                      </c:pt>
                      <c:pt idx="39">
                        <c:v>-0.57701301542704053</c:v>
                      </c:pt>
                      <c:pt idx="40">
                        <c:v>-0.42403078511883807</c:v>
                      </c:pt>
                      <c:pt idx="41">
                        <c:v>-0.36953985214603935</c:v>
                      </c:pt>
                      <c:pt idx="42">
                        <c:v>-0.33157053369965217</c:v>
                      </c:pt>
                      <c:pt idx="43">
                        <c:v>-0.17947054353892145</c:v>
                      </c:pt>
                      <c:pt idx="44">
                        <c:v>-0.18229452946642</c:v>
                      </c:pt>
                      <c:pt idx="45">
                        <c:v>-0.18337913583486221</c:v>
                      </c:pt>
                      <c:pt idx="46">
                        <c:v>-0.1420554129473659</c:v>
                      </c:pt>
                      <c:pt idx="47">
                        <c:v>-5.1742743434404215E-2</c:v>
                      </c:pt>
                      <c:pt idx="48">
                        <c:v>4.2960835860070601E-2</c:v>
                      </c:pt>
                      <c:pt idx="49">
                        <c:v>8.7490869924425008E-2</c:v>
                      </c:pt>
                      <c:pt idx="50">
                        <c:v>9.7401173865263591E-2</c:v>
                      </c:pt>
                      <c:pt idx="51">
                        <c:v>0.1320960613993396</c:v>
                      </c:pt>
                      <c:pt idx="52">
                        <c:v>0.13808595067348639</c:v>
                      </c:pt>
                      <c:pt idx="53">
                        <c:v>0.11333002131410796</c:v>
                      </c:pt>
                      <c:pt idx="54">
                        <c:v>0.14820020301964609</c:v>
                      </c:pt>
                      <c:pt idx="55">
                        <c:v>0.12191247284052165</c:v>
                      </c:pt>
                      <c:pt idx="56">
                        <c:v>0.11199916899302109</c:v>
                      </c:pt>
                      <c:pt idx="57">
                        <c:v>0.17451657525536302</c:v>
                      </c:pt>
                      <c:pt idx="58">
                        <c:v>0.22451210883603712</c:v>
                      </c:pt>
                      <c:pt idx="59">
                        <c:v>0.28394827063630657</c:v>
                      </c:pt>
                      <c:pt idx="60">
                        <c:v>0.30533358974335401</c:v>
                      </c:pt>
                      <c:pt idx="61">
                        <c:v>0.34125753524392488</c:v>
                      </c:pt>
                      <c:pt idx="62">
                        <c:v>0.36512590006406542</c:v>
                      </c:pt>
                      <c:pt idx="63">
                        <c:v>0.3889272951336753</c:v>
                      </c:pt>
                      <c:pt idx="64">
                        <c:v>0.3639656678371741</c:v>
                      </c:pt>
                      <c:pt idx="65">
                        <c:v>0.34912442939377952</c:v>
                      </c:pt>
                      <c:pt idx="66">
                        <c:v>0.32337796243622041</c:v>
                      </c:pt>
                      <c:pt idx="67">
                        <c:v>0.32331776997711059</c:v>
                      </c:pt>
                      <c:pt idx="68">
                        <c:v>0.34819613511037473</c:v>
                      </c:pt>
                      <c:pt idx="69">
                        <c:v>0.29726300122307281</c:v>
                      </c:pt>
                      <c:pt idx="70">
                        <c:v>0.29142624761503311</c:v>
                      </c:pt>
                      <c:pt idx="71">
                        <c:v>0.32243125733958011</c:v>
                      </c:pt>
                      <c:pt idx="72">
                        <c:v>0.25291418942413724</c:v>
                      </c:pt>
                      <c:pt idx="73">
                        <c:v>0.21663337682866046</c:v>
                      </c:pt>
                      <c:pt idx="74">
                        <c:v>0.16557830902145831</c:v>
                      </c:pt>
                      <c:pt idx="75">
                        <c:v>0.12287826814832323</c:v>
                      </c:pt>
                      <c:pt idx="76">
                        <c:v>0.11672946392203307</c:v>
                      </c:pt>
                      <c:pt idx="77">
                        <c:v>6.334711692916134E-2</c:v>
                      </c:pt>
                      <c:pt idx="78">
                        <c:v>0.11128721461571128</c:v>
                      </c:pt>
                      <c:pt idx="79">
                        <c:v>0.14530084580753483</c:v>
                      </c:pt>
                      <c:pt idx="80">
                        <c:v>0.18761671597537907</c:v>
                      </c:pt>
                      <c:pt idx="81">
                        <c:v>0.19675249266987177</c:v>
                      </c:pt>
                      <c:pt idx="82">
                        <c:v>0.19948051765653552</c:v>
                      </c:pt>
                      <c:pt idx="83">
                        <c:v>0.18036385475258765</c:v>
                      </c:pt>
                      <c:pt idx="84">
                        <c:v>0.12900110688480806</c:v>
                      </c:pt>
                      <c:pt idx="85">
                        <c:v>7.9609113954967919E-2</c:v>
                      </c:pt>
                      <c:pt idx="86">
                        <c:v>-5.0686582765974986E-3</c:v>
                      </c:pt>
                      <c:pt idx="87">
                        <c:v>-8.4438013159733469E-2</c:v>
                      </c:pt>
                      <c:pt idx="88">
                        <c:v>-0.1765486832649914</c:v>
                      </c:pt>
                      <c:pt idx="89">
                        <c:v>-0.23248560428853704</c:v>
                      </c:pt>
                      <c:pt idx="90">
                        <c:v>-0.20485143520313825</c:v>
                      </c:pt>
                      <c:pt idx="91">
                        <c:v>-0.14751626252526021</c:v>
                      </c:pt>
                      <c:pt idx="92">
                        <c:v>-9.0827053884153866E-2</c:v>
                      </c:pt>
                      <c:pt idx="93">
                        <c:v>-3.9221981664643718E-2</c:v>
                      </c:pt>
                      <c:pt idx="94">
                        <c:v>3.1469512901709989E-2</c:v>
                      </c:pt>
                      <c:pt idx="95">
                        <c:v>5.9292385832630162E-2</c:v>
                      </c:pt>
                      <c:pt idx="96">
                        <c:v>7.7159499417714425E-2</c:v>
                      </c:pt>
                      <c:pt idx="97">
                        <c:v>0.18978231230312032</c:v>
                      </c:pt>
                      <c:pt idx="98">
                        <c:v>0.23484435094106071</c:v>
                      </c:pt>
                      <c:pt idx="99">
                        <c:v>0.24423577041622532</c:v>
                      </c:pt>
                      <c:pt idx="100">
                        <c:v>0.25510944929171203</c:v>
                      </c:pt>
                      <c:pt idx="101">
                        <c:v>0.28554419317383384</c:v>
                      </c:pt>
                      <c:pt idx="102">
                        <c:v>0.26536640047331145</c:v>
                      </c:pt>
                      <c:pt idx="103">
                        <c:v>0.30581601579879691</c:v>
                      </c:pt>
                      <c:pt idx="104">
                        <c:v>0.32784142608464883</c:v>
                      </c:pt>
                      <c:pt idx="105">
                        <c:v>0.3440751959179601</c:v>
                      </c:pt>
                      <c:pt idx="106">
                        <c:v>0.3761034887677176</c:v>
                      </c:pt>
                      <c:pt idx="107">
                        <c:v>0.46144400863788571</c:v>
                      </c:pt>
                      <c:pt idx="108">
                        <c:v>0.48405310164759108</c:v>
                      </c:pt>
                      <c:pt idx="109">
                        <c:v>0.52759620120429107</c:v>
                      </c:pt>
                      <c:pt idx="110">
                        <c:v>0.48441055844626923</c:v>
                      </c:pt>
                      <c:pt idx="111">
                        <c:v>0.46396783326873536</c:v>
                      </c:pt>
                      <c:pt idx="112">
                        <c:v>0.40099637232014751</c:v>
                      </c:pt>
                      <c:pt idx="113">
                        <c:v>0.32843390257944249</c:v>
                      </c:pt>
                      <c:pt idx="114">
                        <c:v>0.2044138271034126</c:v>
                      </c:pt>
                      <c:pt idx="115">
                        <c:v>8.2894506799189971E-2</c:v>
                      </c:pt>
                      <c:pt idx="116">
                        <c:v>8.6908731786006221E-3</c:v>
                      </c:pt>
                      <c:pt idx="117">
                        <c:v>-7.6020323887934449E-2</c:v>
                      </c:pt>
                      <c:pt idx="118">
                        <c:v>-0.1493017821310243</c:v>
                      </c:pt>
                      <c:pt idx="119">
                        <c:v>-0.12763633781419648</c:v>
                      </c:pt>
                      <c:pt idx="120">
                        <c:v>-9.7720798175408685E-2</c:v>
                      </c:pt>
                      <c:pt idx="121">
                        <c:v>-5.568345887845072E-2</c:v>
                      </c:pt>
                      <c:pt idx="122">
                        <c:v>5.2765460847106205E-3</c:v>
                      </c:pt>
                      <c:pt idx="123">
                        <c:v>4.0427722325280913E-2</c:v>
                      </c:pt>
                      <c:pt idx="124">
                        <c:v>4.3427712982785582E-2</c:v>
                      </c:pt>
                      <c:pt idx="125">
                        <c:v>5.5980659572316682E-3</c:v>
                      </c:pt>
                      <c:pt idx="126">
                        <c:v>-2.7772701403851796E-2</c:v>
                      </c:pt>
                      <c:pt idx="127">
                        <c:v>-6.7385081851128792E-2</c:v>
                      </c:pt>
                      <c:pt idx="128">
                        <c:v>-7.5494268603961689E-2</c:v>
                      </c:pt>
                      <c:pt idx="129">
                        <c:v>-9.4531355459594568E-2</c:v>
                      </c:pt>
                      <c:pt idx="130">
                        <c:v>-0.17791667747224027</c:v>
                      </c:pt>
                      <c:pt idx="131">
                        <c:v>-0.16092589825276526</c:v>
                      </c:pt>
                      <c:pt idx="132">
                        <c:v>-0.14983012572266285</c:v>
                      </c:pt>
                      <c:pt idx="133">
                        <c:v>-0.12735315543084536</c:v>
                      </c:pt>
                      <c:pt idx="134">
                        <c:v>-0.16053382109757242</c:v>
                      </c:pt>
                      <c:pt idx="135">
                        <c:v>-0.2245798104273713</c:v>
                      </c:pt>
                      <c:pt idx="136">
                        <c:v>-0.27219349535222326</c:v>
                      </c:pt>
                      <c:pt idx="137">
                        <c:v>-0.26746258321727256</c:v>
                      </c:pt>
                      <c:pt idx="138">
                        <c:v>-0.24041049547991433</c:v>
                      </c:pt>
                      <c:pt idx="139">
                        <c:v>-0.26277940884071471</c:v>
                      </c:pt>
                      <c:pt idx="140">
                        <c:v>-0.26840418746841155</c:v>
                      </c:pt>
                      <c:pt idx="141">
                        <c:v>-0.17774996632971829</c:v>
                      </c:pt>
                      <c:pt idx="142">
                        <c:v>-8.9809300026585492E-2</c:v>
                      </c:pt>
                      <c:pt idx="143">
                        <c:v>-6.9877872708569488E-2</c:v>
                      </c:pt>
                      <c:pt idx="144">
                        <c:v>-8.5800771718785418E-2</c:v>
                      </c:pt>
                      <c:pt idx="145">
                        <c:v>-0.1155080862077893</c:v>
                      </c:pt>
                      <c:pt idx="146">
                        <c:v>-0.14948192590979359</c:v>
                      </c:pt>
                      <c:pt idx="147">
                        <c:v>-0.20889716548535708</c:v>
                      </c:pt>
                      <c:pt idx="148">
                        <c:v>-0.30555670657546707</c:v>
                      </c:pt>
                      <c:pt idx="149">
                        <c:v>-0.3827825308902969</c:v>
                      </c:pt>
                      <c:pt idx="150">
                        <c:v>-0.39951092249099329</c:v>
                      </c:pt>
                      <c:pt idx="151">
                        <c:v>-0.40269844132656379</c:v>
                      </c:pt>
                      <c:pt idx="152">
                        <c:v>-0.40971558663517277</c:v>
                      </c:pt>
                      <c:pt idx="153">
                        <c:v>-0.38081714755940088</c:v>
                      </c:pt>
                      <c:pt idx="154">
                        <c:v>-0.37536500192062705</c:v>
                      </c:pt>
                      <c:pt idx="155">
                        <c:v>-0.35468269113755424</c:v>
                      </c:pt>
                      <c:pt idx="156">
                        <c:v>-0.32855927503754823</c:v>
                      </c:pt>
                      <c:pt idx="157">
                        <c:v>-0.31049506197596177</c:v>
                      </c:pt>
                      <c:pt idx="158">
                        <c:v>-0.24730552167563224</c:v>
                      </c:pt>
                      <c:pt idx="159">
                        <c:v>-0.18729909001253087</c:v>
                      </c:pt>
                      <c:pt idx="160">
                        <c:v>-0.15178998875050009</c:v>
                      </c:pt>
                      <c:pt idx="161">
                        <c:v>-0.14208529820203286</c:v>
                      </c:pt>
                      <c:pt idx="162">
                        <c:v>-0.12002125843565581</c:v>
                      </c:pt>
                      <c:pt idx="163">
                        <c:v>-1.7703385327433319E-2</c:v>
                      </c:pt>
                      <c:pt idx="164">
                        <c:v>-3.2504152736928082E-2</c:v>
                      </c:pt>
                      <c:pt idx="165">
                        <c:v>-0.11092817789963882</c:v>
                      </c:pt>
                      <c:pt idx="166">
                        <c:v>-8.9572636396793359E-2</c:v>
                      </c:pt>
                      <c:pt idx="167">
                        <c:v>-0.11827344585724253</c:v>
                      </c:pt>
                      <c:pt idx="168">
                        <c:v>-0.10956594637515416</c:v>
                      </c:pt>
                      <c:pt idx="169">
                        <c:v>-0.1529232254286953</c:v>
                      </c:pt>
                      <c:pt idx="170">
                        <c:v>-0.18161993115720754</c:v>
                      </c:pt>
                      <c:pt idx="171">
                        <c:v>-0.23558546462975849</c:v>
                      </c:pt>
                      <c:pt idx="172">
                        <c:v>-0.26054161894588312</c:v>
                      </c:pt>
                      <c:pt idx="173">
                        <c:v>-0.2213789984785679</c:v>
                      </c:pt>
                      <c:pt idx="174">
                        <c:v>-0.1825051488530085</c:v>
                      </c:pt>
                      <c:pt idx="175">
                        <c:v>-0.13777604082066364</c:v>
                      </c:pt>
                      <c:pt idx="176">
                        <c:v>-0.15139632853088947</c:v>
                      </c:pt>
                      <c:pt idx="177">
                        <c:v>-0.19542441312622416</c:v>
                      </c:pt>
                      <c:pt idx="178">
                        <c:v>-0.18428229552119313</c:v>
                      </c:pt>
                      <c:pt idx="179">
                        <c:v>-0.19424600311112394</c:v>
                      </c:pt>
                      <c:pt idx="180">
                        <c:v>-0.19541356403652133</c:v>
                      </c:pt>
                      <c:pt idx="181">
                        <c:v>-0.18290315847060623</c:v>
                      </c:pt>
                      <c:pt idx="182">
                        <c:v>-0.1358933691654991</c:v>
                      </c:pt>
                      <c:pt idx="183">
                        <c:v>-3.6867628308429712E-2</c:v>
                      </c:pt>
                      <c:pt idx="184">
                        <c:v>1.3072442498240688E-2</c:v>
                      </c:pt>
                      <c:pt idx="185">
                        <c:v>4.4915069806534369E-2</c:v>
                      </c:pt>
                      <c:pt idx="186">
                        <c:v>8.3426432248841609E-2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06D-4798-9DC1-C0505331AF8B}"/>
                  </c:ext>
                </c:extLst>
              </c15:ser>
            </c15:filteredLineSeries>
          </c:ext>
        </c:extLst>
      </c:lineChart>
      <c:catAx>
        <c:axId val="320667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66640"/>
        <c:crosses val="autoZero"/>
        <c:auto val="1"/>
        <c:lblAlgn val="ctr"/>
        <c:lblOffset val="100"/>
        <c:noMultiLvlLbl val="0"/>
      </c:catAx>
      <c:valAx>
        <c:axId val="32066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6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RSI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'Relative Strength Index'!$J$1</c:f>
              <c:strCache>
                <c:ptCount val="1"/>
                <c:pt idx="0">
                  <c:v>RSI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'Relative Strength Index'!$A$2:$A$188</c:f>
              <c:strCache>
                <c:ptCount val="187"/>
                <c:pt idx="0">
                  <c:v>Mar 28, 2025</c:v>
                </c:pt>
                <c:pt idx="1">
                  <c:v>Mar 27, 2025</c:v>
                </c:pt>
                <c:pt idx="2">
                  <c:v>Mar 26, 2025</c:v>
                </c:pt>
                <c:pt idx="3">
                  <c:v>Mar 25, 2025</c:v>
                </c:pt>
                <c:pt idx="4">
                  <c:v>Mar 24, 2025</c:v>
                </c:pt>
                <c:pt idx="5">
                  <c:v>Mar 21, 2025</c:v>
                </c:pt>
                <c:pt idx="6">
                  <c:v>Mar 20, 2025</c:v>
                </c:pt>
                <c:pt idx="7">
                  <c:v>Mar 19, 2025</c:v>
                </c:pt>
                <c:pt idx="8">
                  <c:v>Mar 18, 2025</c:v>
                </c:pt>
                <c:pt idx="9">
                  <c:v>Mar 17, 2025</c:v>
                </c:pt>
                <c:pt idx="10">
                  <c:v>Mar 14, 2025</c:v>
                </c:pt>
                <c:pt idx="11">
                  <c:v>Mar 13, 2025</c:v>
                </c:pt>
                <c:pt idx="12">
                  <c:v>Mar 12, 2025</c:v>
                </c:pt>
                <c:pt idx="13">
                  <c:v>Mar 11, 2025</c:v>
                </c:pt>
                <c:pt idx="14">
                  <c:v>Mar 10, 2025</c:v>
                </c:pt>
                <c:pt idx="15">
                  <c:v>Mar 7, 2025</c:v>
                </c:pt>
                <c:pt idx="16">
                  <c:v>Mar 6, 2025</c:v>
                </c:pt>
                <c:pt idx="17">
                  <c:v>Mar 5, 2025</c:v>
                </c:pt>
                <c:pt idx="18">
                  <c:v>Mar 4, 2025</c:v>
                </c:pt>
                <c:pt idx="19">
                  <c:v>Mar 3, 2025</c:v>
                </c:pt>
                <c:pt idx="20">
                  <c:v>Feb 28, 2025</c:v>
                </c:pt>
                <c:pt idx="21">
                  <c:v>Feb 27, 2025</c:v>
                </c:pt>
                <c:pt idx="22">
                  <c:v>Feb 26, 2025</c:v>
                </c:pt>
                <c:pt idx="23">
                  <c:v>Feb 25, 2025</c:v>
                </c:pt>
                <c:pt idx="24">
                  <c:v>Feb 24, 2025</c:v>
                </c:pt>
                <c:pt idx="25">
                  <c:v>Feb 21, 2025</c:v>
                </c:pt>
                <c:pt idx="26">
                  <c:v>Feb 20, 2025</c:v>
                </c:pt>
                <c:pt idx="27">
                  <c:v>Feb 19, 2025</c:v>
                </c:pt>
                <c:pt idx="28">
                  <c:v>Feb 18, 2025</c:v>
                </c:pt>
                <c:pt idx="29">
                  <c:v>Feb 14, 2025</c:v>
                </c:pt>
                <c:pt idx="30">
                  <c:v>Feb 13, 2025</c:v>
                </c:pt>
                <c:pt idx="31">
                  <c:v>Feb 12, 2025</c:v>
                </c:pt>
                <c:pt idx="32">
                  <c:v>Feb 11, 2025</c:v>
                </c:pt>
                <c:pt idx="33">
                  <c:v>Feb 10, 2025</c:v>
                </c:pt>
                <c:pt idx="34">
                  <c:v>Feb 7, 2025</c:v>
                </c:pt>
                <c:pt idx="35">
                  <c:v>Feb 6, 2025</c:v>
                </c:pt>
                <c:pt idx="36">
                  <c:v>Feb 5, 2025</c:v>
                </c:pt>
                <c:pt idx="37">
                  <c:v>Feb 4, 2025</c:v>
                </c:pt>
                <c:pt idx="38">
                  <c:v>Feb 3, 2025</c:v>
                </c:pt>
                <c:pt idx="39">
                  <c:v>Jan 31, 2025</c:v>
                </c:pt>
                <c:pt idx="40">
                  <c:v>Jan 30, 2025</c:v>
                </c:pt>
                <c:pt idx="41">
                  <c:v>Jan 29, 2025</c:v>
                </c:pt>
                <c:pt idx="42">
                  <c:v>Jan 28, 2025</c:v>
                </c:pt>
                <c:pt idx="43">
                  <c:v>Jan 27, 2025</c:v>
                </c:pt>
                <c:pt idx="44">
                  <c:v>Jan 24, 2025</c:v>
                </c:pt>
                <c:pt idx="45">
                  <c:v>Jan 23, 2025</c:v>
                </c:pt>
                <c:pt idx="46">
                  <c:v>Jan 22, 2025</c:v>
                </c:pt>
                <c:pt idx="47">
                  <c:v>Jan 21, 2025</c:v>
                </c:pt>
                <c:pt idx="48">
                  <c:v>Jan 17, 2025</c:v>
                </c:pt>
                <c:pt idx="49">
                  <c:v>Jan 16, 2025</c:v>
                </c:pt>
                <c:pt idx="50">
                  <c:v>Jan 15, 2025</c:v>
                </c:pt>
                <c:pt idx="51">
                  <c:v>Jan 14, 2025</c:v>
                </c:pt>
                <c:pt idx="52">
                  <c:v>Jan 13, 2025</c:v>
                </c:pt>
                <c:pt idx="53">
                  <c:v>Jan 10, 2025</c:v>
                </c:pt>
                <c:pt idx="54">
                  <c:v>Jan 8, 2025</c:v>
                </c:pt>
                <c:pt idx="55">
                  <c:v>Jan 7, 2025</c:v>
                </c:pt>
                <c:pt idx="56">
                  <c:v>Jan 6, 2025</c:v>
                </c:pt>
                <c:pt idx="57">
                  <c:v>Jan 3, 2025</c:v>
                </c:pt>
                <c:pt idx="58">
                  <c:v>Jan 2, 2025</c:v>
                </c:pt>
                <c:pt idx="59">
                  <c:v>Dec 31, 2024</c:v>
                </c:pt>
                <c:pt idx="60">
                  <c:v>Dec 30, 2024</c:v>
                </c:pt>
                <c:pt idx="61">
                  <c:v>Dec 27, 2024</c:v>
                </c:pt>
                <c:pt idx="62">
                  <c:v>Dec 26, 2024</c:v>
                </c:pt>
                <c:pt idx="63">
                  <c:v>Dec 24, 2024</c:v>
                </c:pt>
                <c:pt idx="64">
                  <c:v>Dec 23, 2024</c:v>
                </c:pt>
                <c:pt idx="65">
                  <c:v>Dec 20, 2024</c:v>
                </c:pt>
                <c:pt idx="66">
                  <c:v>Dec 19, 2024</c:v>
                </c:pt>
                <c:pt idx="67">
                  <c:v>Dec 18, 2024</c:v>
                </c:pt>
                <c:pt idx="68">
                  <c:v>Dec 17, 2024</c:v>
                </c:pt>
                <c:pt idx="69">
                  <c:v>Dec 16, 2024</c:v>
                </c:pt>
                <c:pt idx="70">
                  <c:v>Dec 13, 2024</c:v>
                </c:pt>
                <c:pt idx="71">
                  <c:v>Dec 12, 2024</c:v>
                </c:pt>
                <c:pt idx="72">
                  <c:v>Dec 11, 2024</c:v>
                </c:pt>
                <c:pt idx="73">
                  <c:v>Dec 10, 2024</c:v>
                </c:pt>
                <c:pt idx="74">
                  <c:v>Dec 9, 2024</c:v>
                </c:pt>
                <c:pt idx="75">
                  <c:v>Dec 6, 2024</c:v>
                </c:pt>
                <c:pt idx="76">
                  <c:v>Dec 5, 2024</c:v>
                </c:pt>
                <c:pt idx="77">
                  <c:v>Dec 4, 2024</c:v>
                </c:pt>
                <c:pt idx="78">
                  <c:v>Dec 3, 2024</c:v>
                </c:pt>
                <c:pt idx="79">
                  <c:v>Dec 2, 2024</c:v>
                </c:pt>
                <c:pt idx="80">
                  <c:v>Nov 29, 2024</c:v>
                </c:pt>
                <c:pt idx="81">
                  <c:v>Nov 27, 2024</c:v>
                </c:pt>
                <c:pt idx="82">
                  <c:v>Nov 26, 2024</c:v>
                </c:pt>
                <c:pt idx="83">
                  <c:v>Nov 25, 2024</c:v>
                </c:pt>
                <c:pt idx="84">
                  <c:v>Nov 22, 2024</c:v>
                </c:pt>
                <c:pt idx="85">
                  <c:v>Nov 21, 2024</c:v>
                </c:pt>
                <c:pt idx="86">
                  <c:v>Nov 20, 2024</c:v>
                </c:pt>
                <c:pt idx="87">
                  <c:v>Nov 19, 2024</c:v>
                </c:pt>
                <c:pt idx="88">
                  <c:v>Nov 18, 2024</c:v>
                </c:pt>
                <c:pt idx="89">
                  <c:v>Nov 15, 2024</c:v>
                </c:pt>
                <c:pt idx="90">
                  <c:v>Nov 14, 2024</c:v>
                </c:pt>
                <c:pt idx="91">
                  <c:v>Nov 13, 2024</c:v>
                </c:pt>
                <c:pt idx="92">
                  <c:v>Nov 12, 2024</c:v>
                </c:pt>
                <c:pt idx="93">
                  <c:v>Nov 11, 2024</c:v>
                </c:pt>
                <c:pt idx="94">
                  <c:v>Nov 8, 2024</c:v>
                </c:pt>
                <c:pt idx="95">
                  <c:v>Nov 7, 2024</c:v>
                </c:pt>
                <c:pt idx="96">
                  <c:v>Nov 6, 2024</c:v>
                </c:pt>
                <c:pt idx="97">
                  <c:v>Nov 5, 2024</c:v>
                </c:pt>
                <c:pt idx="98">
                  <c:v>Nov 4, 2024</c:v>
                </c:pt>
                <c:pt idx="99">
                  <c:v>Nov 1, 2024</c:v>
                </c:pt>
                <c:pt idx="100">
                  <c:v>Oct 31, 2024</c:v>
                </c:pt>
                <c:pt idx="101">
                  <c:v>Oct 30, 2024</c:v>
                </c:pt>
                <c:pt idx="102">
                  <c:v>Oct 29, 2024</c:v>
                </c:pt>
                <c:pt idx="103">
                  <c:v>Oct 28, 2024</c:v>
                </c:pt>
                <c:pt idx="104">
                  <c:v>Oct 25, 2024</c:v>
                </c:pt>
                <c:pt idx="105">
                  <c:v>Oct 24, 2024</c:v>
                </c:pt>
                <c:pt idx="106">
                  <c:v>Oct 23, 2024</c:v>
                </c:pt>
                <c:pt idx="107">
                  <c:v>Oct 22, 2024</c:v>
                </c:pt>
                <c:pt idx="108">
                  <c:v>Oct 21, 2024</c:v>
                </c:pt>
                <c:pt idx="109">
                  <c:v>Oct 18, 2024</c:v>
                </c:pt>
                <c:pt idx="110">
                  <c:v>Oct 17, 2024</c:v>
                </c:pt>
                <c:pt idx="111">
                  <c:v>Oct 16, 2024</c:v>
                </c:pt>
                <c:pt idx="112">
                  <c:v>Oct 15, 2024</c:v>
                </c:pt>
                <c:pt idx="113">
                  <c:v>Oct 14, 2024</c:v>
                </c:pt>
                <c:pt idx="114">
                  <c:v>Oct 11, 2024</c:v>
                </c:pt>
                <c:pt idx="115">
                  <c:v>Oct 10, 2024</c:v>
                </c:pt>
                <c:pt idx="116">
                  <c:v>Oct 9, 2024</c:v>
                </c:pt>
                <c:pt idx="117">
                  <c:v>Oct 8, 2024</c:v>
                </c:pt>
                <c:pt idx="118">
                  <c:v>Oct 7, 2024</c:v>
                </c:pt>
                <c:pt idx="119">
                  <c:v>Oct 4, 2024</c:v>
                </c:pt>
                <c:pt idx="120">
                  <c:v>Oct 3, 2024</c:v>
                </c:pt>
                <c:pt idx="121">
                  <c:v>Oct 2, 2024</c:v>
                </c:pt>
                <c:pt idx="122">
                  <c:v>Oct 1, 2024</c:v>
                </c:pt>
                <c:pt idx="123">
                  <c:v>Sep 30, 2024</c:v>
                </c:pt>
                <c:pt idx="124">
                  <c:v>Sep 27, 2024</c:v>
                </c:pt>
                <c:pt idx="125">
                  <c:v>Sep 26, 2024</c:v>
                </c:pt>
                <c:pt idx="126">
                  <c:v>Sep 25, 2024</c:v>
                </c:pt>
                <c:pt idx="127">
                  <c:v>Sep 24, 2024</c:v>
                </c:pt>
                <c:pt idx="128">
                  <c:v>Sep 23, 2024</c:v>
                </c:pt>
                <c:pt idx="129">
                  <c:v>Sep 20, 2024</c:v>
                </c:pt>
                <c:pt idx="130">
                  <c:v>Sep 19, 2024</c:v>
                </c:pt>
                <c:pt idx="131">
                  <c:v>Sep 18, 2024</c:v>
                </c:pt>
                <c:pt idx="132">
                  <c:v>Sep 17, 2024</c:v>
                </c:pt>
                <c:pt idx="133">
                  <c:v>Sep 16, 2024</c:v>
                </c:pt>
                <c:pt idx="134">
                  <c:v>Sep 13, 2024</c:v>
                </c:pt>
                <c:pt idx="135">
                  <c:v>Sep 12, 2024</c:v>
                </c:pt>
                <c:pt idx="136">
                  <c:v>Sep 11, 2024</c:v>
                </c:pt>
                <c:pt idx="137">
                  <c:v>Sep 10, 2024</c:v>
                </c:pt>
                <c:pt idx="138">
                  <c:v>Sep 9, 2024</c:v>
                </c:pt>
                <c:pt idx="139">
                  <c:v>Sep 6, 2024</c:v>
                </c:pt>
                <c:pt idx="140">
                  <c:v>Sep 5, 2024</c:v>
                </c:pt>
                <c:pt idx="141">
                  <c:v>Sep 4, 2024</c:v>
                </c:pt>
                <c:pt idx="142">
                  <c:v>Sep 3, 2024</c:v>
                </c:pt>
                <c:pt idx="143">
                  <c:v>Aug 30, 2024</c:v>
                </c:pt>
                <c:pt idx="144">
                  <c:v>Aug 29, 2024</c:v>
                </c:pt>
                <c:pt idx="145">
                  <c:v>Aug 28, 2024</c:v>
                </c:pt>
                <c:pt idx="146">
                  <c:v>Aug 27, 2024</c:v>
                </c:pt>
                <c:pt idx="147">
                  <c:v>Aug 26, 2024</c:v>
                </c:pt>
                <c:pt idx="148">
                  <c:v>Aug 23, 2024</c:v>
                </c:pt>
                <c:pt idx="149">
                  <c:v>Aug 22, 2024</c:v>
                </c:pt>
                <c:pt idx="150">
                  <c:v>Aug 21, 2024</c:v>
                </c:pt>
                <c:pt idx="151">
                  <c:v>Aug 20, 2024</c:v>
                </c:pt>
                <c:pt idx="152">
                  <c:v>Aug 19, 2024</c:v>
                </c:pt>
                <c:pt idx="153">
                  <c:v>Aug 16, 2024</c:v>
                </c:pt>
                <c:pt idx="154">
                  <c:v>Aug 15, 2024</c:v>
                </c:pt>
                <c:pt idx="155">
                  <c:v>Aug 14, 2024</c:v>
                </c:pt>
                <c:pt idx="156">
                  <c:v>Aug 13, 2024</c:v>
                </c:pt>
                <c:pt idx="157">
                  <c:v>Aug 12, 2024</c:v>
                </c:pt>
                <c:pt idx="158">
                  <c:v>Aug 9, 2024</c:v>
                </c:pt>
                <c:pt idx="159">
                  <c:v>Aug 8, 2024</c:v>
                </c:pt>
                <c:pt idx="160">
                  <c:v>Aug 7, 2024</c:v>
                </c:pt>
                <c:pt idx="161">
                  <c:v>Aug 6, 2024</c:v>
                </c:pt>
                <c:pt idx="162">
                  <c:v>Aug 5, 2024</c:v>
                </c:pt>
                <c:pt idx="163">
                  <c:v>Aug 2, 2024</c:v>
                </c:pt>
                <c:pt idx="164">
                  <c:v>Aug 1, 2024</c:v>
                </c:pt>
                <c:pt idx="165">
                  <c:v>Jul 31, 2024</c:v>
                </c:pt>
                <c:pt idx="166">
                  <c:v>Jul 30, 2024</c:v>
                </c:pt>
                <c:pt idx="167">
                  <c:v>Jul 29, 2024</c:v>
                </c:pt>
                <c:pt idx="168">
                  <c:v>Jul 26, 2024</c:v>
                </c:pt>
                <c:pt idx="169">
                  <c:v>Jul 25, 2024</c:v>
                </c:pt>
                <c:pt idx="170">
                  <c:v>Jul 24, 2024</c:v>
                </c:pt>
                <c:pt idx="171">
                  <c:v>Jul 23, 2024</c:v>
                </c:pt>
                <c:pt idx="172">
                  <c:v>Jul 22, 2024</c:v>
                </c:pt>
                <c:pt idx="173">
                  <c:v>Jul 19, 2024</c:v>
                </c:pt>
                <c:pt idx="174">
                  <c:v>Jul 18, 2024</c:v>
                </c:pt>
                <c:pt idx="175">
                  <c:v>Jul 17, 2024</c:v>
                </c:pt>
                <c:pt idx="176">
                  <c:v>Jul 16, 2024</c:v>
                </c:pt>
                <c:pt idx="177">
                  <c:v>Jul 15, 2024</c:v>
                </c:pt>
                <c:pt idx="178">
                  <c:v>Jul 12, 2024</c:v>
                </c:pt>
                <c:pt idx="179">
                  <c:v>Jul 11, 2024</c:v>
                </c:pt>
                <c:pt idx="180">
                  <c:v>Jul 10, 2024</c:v>
                </c:pt>
                <c:pt idx="181">
                  <c:v>Jul 9, 2024</c:v>
                </c:pt>
                <c:pt idx="182">
                  <c:v>Jul 8, 2024</c:v>
                </c:pt>
                <c:pt idx="183">
                  <c:v>Jul 5, 2024</c:v>
                </c:pt>
                <c:pt idx="184">
                  <c:v>Jul 3, 2024</c:v>
                </c:pt>
                <c:pt idx="185">
                  <c:v>Jul 2, 2024</c:v>
                </c:pt>
                <c:pt idx="186">
                  <c:v>Jul 1, 2024</c:v>
                </c:pt>
              </c:strCache>
            </c:strRef>
          </c:cat>
          <c:val>
            <c:numRef>
              <c:f>'Relative Strength Index'!$J$2:$J$188</c:f>
              <c:numCache>
                <c:formatCode>General</c:formatCode>
                <c:ptCount val="187"/>
                <c:pt idx="0">
                  <c:v>46.437659033078859</c:v>
                </c:pt>
                <c:pt idx="1">
                  <c:v>48.868175765645802</c:v>
                </c:pt>
                <c:pt idx="2">
                  <c:v>50.515463917525764</c:v>
                </c:pt>
                <c:pt idx="3">
                  <c:v>44.508670520231291</c:v>
                </c:pt>
                <c:pt idx="4">
                  <c:v>44.702467343976771</c:v>
                </c:pt>
                <c:pt idx="5">
                  <c:v>32.110091743119298</c:v>
                </c:pt>
                <c:pt idx="6">
                  <c:v>44.419134396355361</c:v>
                </c:pt>
                <c:pt idx="7">
                  <c:v>43.843498273878097</c:v>
                </c:pt>
                <c:pt idx="8">
                  <c:v>44.803695150115473</c:v>
                </c:pt>
                <c:pt idx="9">
                  <c:v>45.063879210220733</c:v>
                </c:pt>
                <c:pt idx="10">
                  <c:v>44.678362573099463</c:v>
                </c:pt>
                <c:pt idx="11">
                  <c:v>40.712742980561607</c:v>
                </c:pt>
                <c:pt idx="12">
                  <c:v>49.511718750000028</c:v>
                </c:pt>
                <c:pt idx="13">
                  <c:v>55.228758169934579</c:v>
                </c:pt>
                <c:pt idx="14">
                  <c:v>62.206332992849809</c:v>
                </c:pt>
                <c:pt idx="15">
                  <c:v>62.776659959758476</c:v>
                </c:pt>
                <c:pt idx="16">
                  <c:v>54.953076120959331</c:v>
                </c:pt>
                <c:pt idx="17">
                  <c:v>56.799999999999983</c:v>
                </c:pt>
                <c:pt idx="18">
                  <c:v>61.727272727272783</c:v>
                </c:pt>
                <c:pt idx="19">
                  <c:v>82.367758186398021</c:v>
                </c:pt>
                <c:pt idx="20">
                  <c:v>81.770833333333371</c:v>
                </c:pt>
                <c:pt idx="21">
                  <c:v>81.974248927038644</c:v>
                </c:pt>
                <c:pt idx="22">
                  <c:v>82.233502538071093</c:v>
                </c:pt>
                <c:pt idx="23">
                  <c:v>87.823834196891212</c:v>
                </c:pt>
                <c:pt idx="24">
                  <c:v>81.60211267605635</c:v>
                </c:pt>
                <c:pt idx="25">
                  <c:v>86.473880597014997</c:v>
                </c:pt>
                <c:pt idx="26">
                  <c:v>79.779779779779858</c:v>
                </c:pt>
                <c:pt idx="27">
                  <c:v>82.184422560429795</c:v>
                </c:pt>
                <c:pt idx="28">
                  <c:v>81.261770244821179</c:v>
                </c:pt>
                <c:pt idx="29">
                  <c:v>70.794979079497963</c:v>
                </c:pt>
                <c:pt idx="30">
                  <c:v>78.355957767722472</c:v>
                </c:pt>
                <c:pt idx="31">
                  <c:v>77.700077700077699</c:v>
                </c:pt>
                <c:pt idx="32">
                  <c:v>74.021648626144881</c:v>
                </c:pt>
                <c:pt idx="33">
                  <c:v>61.018711018711002</c:v>
                </c:pt>
                <c:pt idx="34">
                  <c:v>56.086956521739118</c:v>
                </c:pt>
                <c:pt idx="35">
                  <c:v>56.039173014145803</c:v>
                </c:pt>
                <c:pt idx="36">
                  <c:v>57.112526539278115</c:v>
                </c:pt>
                <c:pt idx="37">
                  <c:v>53.35497835497835</c:v>
                </c:pt>
                <c:pt idx="38">
                  <c:v>59.441340782122893</c:v>
                </c:pt>
                <c:pt idx="39">
                  <c:v>62.699256110520707</c:v>
                </c:pt>
                <c:pt idx="40">
                  <c:v>62.236286919831201</c:v>
                </c:pt>
                <c:pt idx="41">
                  <c:v>60.831509846827103</c:v>
                </c:pt>
                <c:pt idx="42">
                  <c:v>58.85057471264367</c:v>
                </c:pt>
                <c:pt idx="43">
                  <c:v>62.899262899262894</c:v>
                </c:pt>
                <c:pt idx="44">
                  <c:v>50.634920634920618</c:v>
                </c:pt>
                <c:pt idx="45">
                  <c:v>44.303797468354446</c:v>
                </c:pt>
                <c:pt idx="46">
                  <c:v>48.012718600953896</c:v>
                </c:pt>
                <c:pt idx="47">
                  <c:v>49.752883031301472</c:v>
                </c:pt>
                <c:pt idx="48">
                  <c:v>51.186440677966104</c:v>
                </c:pt>
                <c:pt idx="49">
                  <c:v>44.833625218914165</c:v>
                </c:pt>
                <c:pt idx="50">
                  <c:v>44.73684210526315</c:v>
                </c:pt>
                <c:pt idx="51">
                  <c:v>45.535714285714292</c:v>
                </c:pt>
                <c:pt idx="52">
                  <c:v>42.561205273069696</c:v>
                </c:pt>
                <c:pt idx="53">
                  <c:v>32.748538011695885</c:v>
                </c:pt>
                <c:pt idx="54">
                  <c:v>33.333333333333329</c:v>
                </c:pt>
                <c:pt idx="55">
                  <c:v>33.067729083665299</c:v>
                </c:pt>
                <c:pt idx="56">
                  <c:v>29.316546762589908</c:v>
                </c:pt>
                <c:pt idx="57">
                  <c:v>30.581613508442743</c:v>
                </c:pt>
                <c:pt idx="58">
                  <c:v>43.856920684292369</c:v>
                </c:pt>
                <c:pt idx="59">
                  <c:v>44.833068362480077</c:v>
                </c:pt>
                <c:pt idx="60">
                  <c:v>45.611285266457664</c:v>
                </c:pt>
                <c:pt idx="61">
                  <c:v>49.337748344370873</c:v>
                </c:pt>
                <c:pt idx="62">
                  <c:v>47.226624405705216</c:v>
                </c:pt>
                <c:pt idx="63">
                  <c:v>54.666666666666686</c:v>
                </c:pt>
                <c:pt idx="64">
                  <c:v>42.555994729907788</c:v>
                </c:pt>
                <c:pt idx="65">
                  <c:v>42.781456953642397</c:v>
                </c:pt>
                <c:pt idx="66">
                  <c:v>39.72081218274112</c:v>
                </c:pt>
                <c:pt idx="67">
                  <c:v>42.838370565046006</c:v>
                </c:pt>
                <c:pt idx="68">
                  <c:v>45.467224546722413</c:v>
                </c:pt>
                <c:pt idx="69">
                  <c:v>39.660493827160543</c:v>
                </c:pt>
                <c:pt idx="70">
                  <c:v>47.566718995290415</c:v>
                </c:pt>
                <c:pt idx="71">
                  <c:v>54.733218588640234</c:v>
                </c:pt>
                <c:pt idx="72">
                  <c:v>51.11524163568771</c:v>
                </c:pt>
                <c:pt idx="73">
                  <c:v>57.168784029038143</c:v>
                </c:pt>
                <c:pt idx="74">
                  <c:v>60.13513513513513</c:v>
                </c:pt>
                <c:pt idx="75">
                  <c:v>60.402684563758385</c:v>
                </c:pt>
                <c:pt idx="76">
                  <c:v>56.603773584905667</c:v>
                </c:pt>
                <c:pt idx="77">
                  <c:v>47.377049180327873</c:v>
                </c:pt>
                <c:pt idx="78">
                  <c:v>57.915831663326621</c:v>
                </c:pt>
                <c:pt idx="79">
                  <c:v>57.569721115537803</c:v>
                </c:pt>
                <c:pt idx="80">
                  <c:v>56.225680933852125</c:v>
                </c:pt>
                <c:pt idx="81">
                  <c:v>57.224334600760415</c:v>
                </c:pt>
                <c:pt idx="82">
                  <c:v>57.996146435452843</c:v>
                </c:pt>
                <c:pt idx="83">
                  <c:v>42.728635682158881</c:v>
                </c:pt>
                <c:pt idx="84">
                  <c:v>40.866873065015433</c:v>
                </c:pt>
                <c:pt idx="85">
                  <c:v>40.405616224649037</c:v>
                </c:pt>
                <c:pt idx="86">
                  <c:v>30.808080808080888</c:v>
                </c:pt>
                <c:pt idx="87">
                  <c:v>23.289902280130349</c:v>
                </c:pt>
                <c:pt idx="88">
                  <c:v>18.370883882149045</c:v>
                </c:pt>
                <c:pt idx="89">
                  <c:v>14.07407407407409</c:v>
                </c:pt>
                <c:pt idx="90">
                  <c:v>15.297906602254443</c:v>
                </c:pt>
                <c:pt idx="91">
                  <c:v>15.497553017944583</c:v>
                </c:pt>
                <c:pt idx="92">
                  <c:v>14.307228915662691</c:v>
                </c:pt>
                <c:pt idx="93">
                  <c:v>12.025316455696242</c:v>
                </c:pt>
                <c:pt idx="94">
                  <c:v>12.925170068027228</c:v>
                </c:pt>
                <c:pt idx="95">
                  <c:v>8.6633663366336719</c:v>
                </c:pt>
                <c:pt idx="96">
                  <c:v>14.352392065344233</c:v>
                </c:pt>
                <c:pt idx="97">
                  <c:v>16.205533596837995</c:v>
                </c:pt>
                <c:pt idx="98">
                  <c:v>15.984147952443948</c:v>
                </c:pt>
                <c:pt idx="99">
                  <c:v>14.859437751004023</c:v>
                </c:pt>
                <c:pt idx="100">
                  <c:v>23.551637279596903</c:v>
                </c:pt>
                <c:pt idx="101">
                  <c:v>28.496732026143732</c:v>
                </c:pt>
                <c:pt idx="102">
                  <c:v>24.047306176084078</c:v>
                </c:pt>
                <c:pt idx="103">
                  <c:v>32.02898550724646</c:v>
                </c:pt>
                <c:pt idx="104">
                  <c:v>34.89736070381241</c:v>
                </c:pt>
                <c:pt idx="105">
                  <c:v>31.357048748353151</c:v>
                </c:pt>
                <c:pt idx="106">
                  <c:v>32.872928176795611</c:v>
                </c:pt>
                <c:pt idx="107">
                  <c:v>37.777777777777864</c:v>
                </c:pt>
                <c:pt idx="108">
                  <c:v>34.048640915593737</c:v>
                </c:pt>
                <c:pt idx="109">
                  <c:v>38.636363636363726</c:v>
                </c:pt>
                <c:pt idx="110">
                  <c:v>33.684210526315809</c:v>
                </c:pt>
                <c:pt idx="111">
                  <c:v>42.541436464088385</c:v>
                </c:pt>
                <c:pt idx="112">
                  <c:v>39.619047619047585</c:v>
                </c:pt>
                <c:pt idx="113">
                  <c:v>40.968342644320316</c:v>
                </c:pt>
                <c:pt idx="114">
                  <c:v>28.742514970060014</c:v>
                </c:pt>
                <c:pt idx="115">
                  <c:v>25.469728601252783</c:v>
                </c:pt>
                <c:pt idx="116">
                  <c:v>40.619307832422741</c:v>
                </c:pt>
                <c:pt idx="117">
                  <c:v>29.695024077046597</c:v>
                </c:pt>
                <c:pt idx="118">
                  <c:v>27.495908346972229</c:v>
                </c:pt>
                <c:pt idx="119">
                  <c:v>31.939163498098864</c:v>
                </c:pt>
                <c:pt idx="120">
                  <c:v>42.218246869409761</c:v>
                </c:pt>
                <c:pt idx="121">
                  <c:v>52.256944444444358</c:v>
                </c:pt>
                <c:pt idx="122">
                  <c:v>60.53639846743301</c:v>
                </c:pt>
                <c:pt idx="123">
                  <c:v>57.142857142857032</c:v>
                </c:pt>
                <c:pt idx="124">
                  <c:v>53.739130434782652</c:v>
                </c:pt>
                <c:pt idx="125">
                  <c:v>56.033057851239683</c:v>
                </c:pt>
                <c:pt idx="126">
                  <c:v>56.218905472636784</c:v>
                </c:pt>
                <c:pt idx="127">
                  <c:v>44.979367262723507</c:v>
                </c:pt>
                <c:pt idx="128">
                  <c:v>44.733242134062962</c:v>
                </c:pt>
                <c:pt idx="129">
                  <c:v>47.870967741935502</c:v>
                </c:pt>
                <c:pt idx="130">
                  <c:v>43.496503496503458</c:v>
                </c:pt>
                <c:pt idx="131">
                  <c:v>53.797468354430414</c:v>
                </c:pt>
                <c:pt idx="132">
                  <c:v>55.981595092024541</c:v>
                </c:pt>
                <c:pt idx="133">
                  <c:v>62.445414847161629</c:v>
                </c:pt>
                <c:pt idx="134">
                  <c:v>64.265927977839283</c:v>
                </c:pt>
                <c:pt idx="135">
                  <c:v>63.247863247863251</c:v>
                </c:pt>
                <c:pt idx="136">
                  <c:v>60.422535211267665</c:v>
                </c:pt>
                <c:pt idx="137">
                  <c:v>65.542521994135015</c:v>
                </c:pt>
                <c:pt idx="138">
                  <c:v>70.231213872832427</c:v>
                </c:pt>
                <c:pt idx="139">
                  <c:v>64.953271028037463</c:v>
                </c:pt>
                <c:pt idx="140">
                  <c:v>67.872648335745367</c:v>
                </c:pt>
                <c:pt idx="141">
                  <c:v>84.670231729055445</c:v>
                </c:pt>
                <c:pt idx="142">
                  <c:v>92.06049149338395</c:v>
                </c:pt>
                <c:pt idx="143">
                  <c:v>91.683168316831882</c:v>
                </c:pt>
                <c:pt idx="144">
                  <c:v>82.101167315175246</c:v>
                </c:pt>
                <c:pt idx="145">
                  <c:v>80.204081632653228</c:v>
                </c:pt>
                <c:pt idx="146">
                  <c:v>80.244399185336235</c:v>
                </c:pt>
                <c:pt idx="147">
                  <c:v>79.229122055674665</c:v>
                </c:pt>
                <c:pt idx="148">
                  <c:v>72.357723577236044</c:v>
                </c:pt>
                <c:pt idx="149">
                  <c:v>50</c:v>
                </c:pt>
                <c:pt idx="150">
                  <c:v>64.144144144144121</c:v>
                </c:pt>
                <c:pt idx="151">
                  <c:v>69.710806697108112</c:v>
                </c:pt>
                <c:pt idx="152">
                  <c:v>59.01408450704227</c:v>
                </c:pt>
                <c:pt idx="153">
                  <c:v>64.857881136950894</c:v>
                </c:pt>
                <c:pt idx="154">
                  <c:v>60.483870967741957</c:v>
                </c:pt>
                <c:pt idx="155">
                  <c:v>64.748201438848909</c:v>
                </c:pt>
                <c:pt idx="156">
                  <c:v>65.330188679245268</c:v>
                </c:pt>
                <c:pt idx="157">
                  <c:v>67.405764966740577</c:v>
                </c:pt>
                <c:pt idx="158">
                  <c:v>71.954022988505756</c:v>
                </c:pt>
                <c:pt idx="159">
                  <c:v>68.340611353711793</c:v>
                </c:pt>
                <c:pt idx="160">
                  <c:v>67.777777777777771</c:v>
                </c:pt>
                <c:pt idx="161">
                  <c:v>66.125290023201856</c:v>
                </c:pt>
                <c:pt idx="162">
                  <c:v>69.757639620653293</c:v>
                </c:pt>
                <c:pt idx="163">
                  <c:v>81.708652792990137</c:v>
                </c:pt>
                <c:pt idx="164">
                  <c:v>75.836431226765782</c:v>
                </c:pt>
                <c:pt idx="165">
                  <c:v>73.860589812332407</c:v>
                </c:pt>
                <c:pt idx="166">
                  <c:v>84.85294117647058</c:v>
                </c:pt>
                <c:pt idx="167">
                  <c:v>83.14238952536823</c:v>
                </c:pt>
                <c:pt idx="168">
                  <c:v>82.467532467532479</c:v>
                </c:pt>
                <c:pt idx="169">
                  <c:v>68.896321070234137</c:v>
                </c:pt>
                <c:pt idx="170">
                  <c:v>69.706840390879492</c:v>
                </c:pt>
                <c:pt idx="171">
                  <c:v>66.120218579235001</c:v>
                </c:pt>
                <c:pt idx="172">
                  <c:v>63.419117647058819</c:v>
                </c:pt>
                <c:pt idx="173">
                  <c:v>69.979716024340732</c:v>
                </c:pt>
                <c:pt idx="174">
                  <c:v>69.358178053830187</c:v>
                </c:pt>
                <c:pt idx="175">
                  <c:v>69.646569646569645</c:v>
                </c:pt>
                <c:pt idx="176">
                  <c:v>62.467866323907437</c:v>
                </c:pt>
                <c:pt idx="177">
                  <c:v>52.131147540983527</c:v>
                </c:pt>
                <c:pt idx="178">
                  <c:v>57.400722021660599</c:v>
                </c:pt>
                <c:pt idx="179">
                  <c:v>45.871559633027523</c:v>
                </c:pt>
                <c:pt idx="180">
                  <c:v>38.541666666666501</c:v>
                </c:pt>
                <c:pt idx="181">
                  <c:v>33.707865168539385</c:v>
                </c:pt>
                <c:pt idx="182">
                  <c:v>39.735099337748309</c:v>
                </c:pt>
                <c:pt idx="183">
                  <c:v>82.191780821917547</c:v>
                </c:pt>
                <c:pt idx="184">
                  <c:v>58.064516129031745</c:v>
                </c:pt>
                <c:pt idx="18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5D-4755-89C4-600BF54C4A87}"/>
            </c:ext>
          </c:extLst>
        </c:ser>
        <c:ser>
          <c:idx val="1"/>
          <c:order val="1"/>
          <c:tx>
            <c:strRef>
              <c:f>'Relative Strength Index'!$K$1</c:f>
              <c:strCache>
                <c:ptCount val="1"/>
                <c:pt idx="0">
                  <c:v>OverBought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'Relative Strength Index'!$A$2:$A$188</c:f>
              <c:strCache>
                <c:ptCount val="187"/>
                <c:pt idx="0">
                  <c:v>Mar 28, 2025</c:v>
                </c:pt>
                <c:pt idx="1">
                  <c:v>Mar 27, 2025</c:v>
                </c:pt>
                <c:pt idx="2">
                  <c:v>Mar 26, 2025</c:v>
                </c:pt>
                <c:pt idx="3">
                  <c:v>Mar 25, 2025</c:v>
                </c:pt>
                <c:pt idx="4">
                  <c:v>Mar 24, 2025</c:v>
                </c:pt>
                <c:pt idx="5">
                  <c:v>Mar 21, 2025</c:v>
                </c:pt>
                <c:pt idx="6">
                  <c:v>Mar 20, 2025</c:v>
                </c:pt>
                <c:pt idx="7">
                  <c:v>Mar 19, 2025</c:v>
                </c:pt>
                <c:pt idx="8">
                  <c:v>Mar 18, 2025</c:v>
                </c:pt>
                <c:pt idx="9">
                  <c:v>Mar 17, 2025</c:v>
                </c:pt>
                <c:pt idx="10">
                  <c:v>Mar 14, 2025</c:v>
                </c:pt>
                <c:pt idx="11">
                  <c:v>Mar 13, 2025</c:v>
                </c:pt>
                <c:pt idx="12">
                  <c:v>Mar 12, 2025</c:v>
                </c:pt>
                <c:pt idx="13">
                  <c:v>Mar 11, 2025</c:v>
                </c:pt>
                <c:pt idx="14">
                  <c:v>Mar 10, 2025</c:v>
                </c:pt>
                <c:pt idx="15">
                  <c:v>Mar 7, 2025</c:v>
                </c:pt>
                <c:pt idx="16">
                  <c:v>Mar 6, 2025</c:v>
                </c:pt>
                <c:pt idx="17">
                  <c:v>Mar 5, 2025</c:v>
                </c:pt>
                <c:pt idx="18">
                  <c:v>Mar 4, 2025</c:v>
                </c:pt>
                <c:pt idx="19">
                  <c:v>Mar 3, 2025</c:v>
                </c:pt>
                <c:pt idx="20">
                  <c:v>Feb 28, 2025</c:v>
                </c:pt>
                <c:pt idx="21">
                  <c:v>Feb 27, 2025</c:v>
                </c:pt>
                <c:pt idx="22">
                  <c:v>Feb 26, 2025</c:v>
                </c:pt>
                <c:pt idx="23">
                  <c:v>Feb 25, 2025</c:v>
                </c:pt>
                <c:pt idx="24">
                  <c:v>Feb 24, 2025</c:v>
                </c:pt>
                <c:pt idx="25">
                  <c:v>Feb 21, 2025</c:v>
                </c:pt>
                <c:pt idx="26">
                  <c:v>Feb 20, 2025</c:v>
                </c:pt>
                <c:pt idx="27">
                  <c:v>Feb 19, 2025</c:v>
                </c:pt>
                <c:pt idx="28">
                  <c:v>Feb 18, 2025</c:v>
                </c:pt>
                <c:pt idx="29">
                  <c:v>Feb 14, 2025</c:v>
                </c:pt>
                <c:pt idx="30">
                  <c:v>Feb 13, 2025</c:v>
                </c:pt>
                <c:pt idx="31">
                  <c:v>Feb 12, 2025</c:v>
                </c:pt>
                <c:pt idx="32">
                  <c:v>Feb 11, 2025</c:v>
                </c:pt>
                <c:pt idx="33">
                  <c:v>Feb 10, 2025</c:v>
                </c:pt>
                <c:pt idx="34">
                  <c:v>Feb 7, 2025</c:v>
                </c:pt>
                <c:pt idx="35">
                  <c:v>Feb 6, 2025</c:v>
                </c:pt>
                <c:pt idx="36">
                  <c:v>Feb 5, 2025</c:v>
                </c:pt>
                <c:pt idx="37">
                  <c:v>Feb 4, 2025</c:v>
                </c:pt>
                <c:pt idx="38">
                  <c:v>Feb 3, 2025</c:v>
                </c:pt>
                <c:pt idx="39">
                  <c:v>Jan 31, 2025</c:v>
                </c:pt>
                <c:pt idx="40">
                  <c:v>Jan 30, 2025</c:v>
                </c:pt>
                <c:pt idx="41">
                  <c:v>Jan 29, 2025</c:v>
                </c:pt>
                <c:pt idx="42">
                  <c:v>Jan 28, 2025</c:v>
                </c:pt>
                <c:pt idx="43">
                  <c:v>Jan 27, 2025</c:v>
                </c:pt>
                <c:pt idx="44">
                  <c:v>Jan 24, 2025</c:v>
                </c:pt>
                <c:pt idx="45">
                  <c:v>Jan 23, 2025</c:v>
                </c:pt>
                <c:pt idx="46">
                  <c:v>Jan 22, 2025</c:v>
                </c:pt>
                <c:pt idx="47">
                  <c:v>Jan 21, 2025</c:v>
                </c:pt>
                <c:pt idx="48">
                  <c:v>Jan 17, 2025</c:v>
                </c:pt>
                <c:pt idx="49">
                  <c:v>Jan 16, 2025</c:v>
                </c:pt>
                <c:pt idx="50">
                  <c:v>Jan 15, 2025</c:v>
                </c:pt>
                <c:pt idx="51">
                  <c:v>Jan 14, 2025</c:v>
                </c:pt>
                <c:pt idx="52">
                  <c:v>Jan 13, 2025</c:v>
                </c:pt>
                <c:pt idx="53">
                  <c:v>Jan 10, 2025</c:v>
                </c:pt>
                <c:pt idx="54">
                  <c:v>Jan 8, 2025</c:v>
                </c:pt>
                <c:pt idx="55">
                  <c:v>Jan 7, 2025</c:v>
                </c:pt>
                <c:pt idx="56">
                  <c:v>Jan 6, 2025</c:v>
                </c:pt>
                <c:pt idx="57">
                  <c:v>Jan 3, 2025</c:v>
                </c:pt>
                <c:pt idx="58">
                  <c:v>Jan 2, 2025</c:v>
                </c:pt>
                <c:pt idx="59">
                  <c:v>Dec 31, 2024</c:v>
                </c:pt>
                <c:pt idx="60">
                  <c:v>Dec 30, 2024</c:v>
                </c:pt>
                <c:pt idx="61">
                  <c:v>Dec 27, 2024</c:v>
                </c:pt>
                <c:pt idx="62">
                  <c:v>Dec 26, 2024</c:v>
                </c:pt>
                <c:pt idx="63">
                  <c:v>Dec 24, 2024</c:v>
                </c:pt>
                <c:pt idx="64">
                  <c:v>Dec 23, 2024</c:v>
                </c:pt>
                <c:pt idx="65">
                  <c:v>Dec 20, 2024</c:v>
                </c:pt>
                <c:pt idx="66">
                  <c:v>Dec 19, 2024</c:v>
                </c:pt>
                <c:pt idx="67">
                  <c:v>Dec 18, 2024</c:v>
                </c:pt>
                <c:pt idx="68">
                  <c:v>Dec 17, 2024</c:v>
                </c:pt>
                <c:pt idx="69">
                  <c:v>Dec 16, 2024</c:v>
                </c:pt>
                <c:pt idx="70">
                  <c:v>Dec 13, 2024</c:v>
                </c:pt>
                <c:pt idx="71">
                  <c:v>Dec 12, 2024</c:v>
                </c:pt>
                <c:pt idx="72">
                  <c:v>Dec 11, 2024</c:v>
                </c:pt>
                <c:pt idx="73">
                  <c:v>Dec 10, 2024</c:v>
                </c:pt>
                <c:pt idx="74">
                  <c:v>Dec 9, 2024</c:v>
                </c:pt>
                <c:pt idx="75">
                  <c:v>Dec 6, 2024</c:v>
                </c:pt>
                <c:pt idx="76">
                  <c:v>Dec 5, 2024</c:v>
                </c:pt>
                <c:pt idx="77">
                  <c:v>Dec 4, 2024</c:v>
                </c:pt>
                <c:pt idx="78">
                  <c:v>Dec 3, 2024</c:v>
                </c:pt>
                <c:pt idx="79">
                  <c:v>Dec 2, 2024</c:v>
                </c:pt>
                <c:pt idx="80">
                  <c:v>Nov 29, 2024</c:v>
                </c:pt>
                <c:pt idx="81">
                  <c:v>Nov 27, 2024</c:v>
                </c:pt>
                <c:pt idx="82">
                  <c:v>Nov 26, 2024</c:v>
                </c:pt>
                <c:pt idx="83">
                  <c:v>Nov 25, 2024</c:v>
                </c:pt>
                <c:pt idx="84">
                  <c:v>Nov 22, 2024</c:v>
                </c:pt>
                <c:pt idx="85">
                  <c:v>Nov 21, 2024</c:v>
                </c:pt>
                <c:pt idx="86">
                  <c:v>Nov 20, 2024</c:v>
                </c:pt>
                <c:pt idx="87">
                  <c:v>Nov 19, 2024</c:v>
                </c:pt>
                <c:pt idx="88">
                  <c:v>Nov 18, 2024</c:v>
                </c:pt>
                <c:pt idx="89">
                  <c:v>Nov 15, 2024</c:v>
                </c:pt>
                <c:pt idx="90">
                  <c:v>Nov 14, 2024</c:v>
                </c:pt>
                <c:pt idx="91">
                  <c:v>Nov 13, 2024</c:v>
                </c:pt>
                <c:pt idx="92">
                  <c:v>Nov 12, 2024</c:v>
                </c:pt>
                <c:pt idx="93">
                  <c:v>Nov 11, 2024</c:v>
                </c:pt>
                <c:pt idx="94">
                  <c:v>Nov 8, 2024</c:v>
                </c:pt>
                <c:pt idx="95">
                  <c:v>Nov 7, 2024</c:v>
                </c:pt>
                <c:pt idx="96">
                  <c:v>Nov 6, 2024</c:v>
                </c:pt>
                <c:pt idx="97">
                  <c:v>Nov 5, 2024</c:v>
                </c:pt>
                <c:pt idx="98">
                  <c:v>Nov 4, 2024</c:v>
                </c:pt>
                <c:pt idx="99">
                  <c:v>Nov 1, 2024</c:v>
                </c:pt>
                <c:pt idx="100">
                  <c:v>Oct 31, 2024</c:v>
                </c:pt>
                <c:pt idx="101">
                  <c:v>Oct 30, 2024</c:v>
                </c:pt>
                <c:pt idx="102">
                  <c:v>Oct 29, 2024</c:v>
                </c:pt>
                <c:pt idx="103">
                  <c:v>Oct 28, 2024</c:v>
                </c:pt>
                <c:pt idx="104">
                  <c:v>Oct 25, 2024</c:v>
                </c:pt>
                <c:pt idx="105">
                  <c:v>Oct 24, 2024</c:v>
                </c:pt>
                <c:pt idx="106">
                  <c:v>Oct 23, 2024</c:v>
                </c:pt>
                <c:pt idx="107">
                  <c:v>Oct 22, 2024</c:v>
                </c:pt>
                <c:pt idx="108">
                  <c:v>Oct 21, 2024</c:v>
                </c:pt>
                <c:pt idx="109">
                  <c:v>Oct 18, 2024</c:v>
                </c:pt>
                <c:pt idx="110">
                  <c:v>Oct 17, 2024</c:v>
                </c:pt>
                <c:pt idx="111">
                  <c:v>Oct 16, 2024</c:v>
                </c:pt>
                <c:pt idx="112">
                  <c:v>Oct 15, 2024</c:v>
                </c:pt>
                <c:pt idx="113">
                  <c:v>Oct 14, 2024</c:v>
                </c:pt>
                <c:pt idx="114">
                  <c:v>Oct 11, 2024</c:v>
                </c:pt>
                <c:pt idx="115">
                  <c:v>Oct 10, 2024</c:v>
                </c:pt>
                <c:pt idx="116">
                  <c:v>Oct 9, 2024</c:v>
                </c:pt>
                <c:pt idx="117">
                  <c:v>Oct 8, 2024</c:v>
                </c:pt>
                <c:pt idx="118">
                  <c:v>Oct 7, 2024</c:v>
                </c:pt>
                <c:pt idx="119">
                  <c:v>Oct 4, 2024</c:v>
                </c:pt>
                <c:pt idx="120">
                  <c:v>Oct 3, 2024</c:v>
                </c:pt>
                <c:pt idx="121">
                  <c:v>Oct 2, 2024</c:v>
                </c:pt>
                <c:pt idx="122">
                  <c:v>Oct 1, 2024</c:v>
                </c:pt>
                <c:pt idx="123">
                  <c:v>Sep 30, 2024</c:v>
                </c:pt>
                <c:pt idx="124">
                  <c:v>Sep 27, 2024</c:v>
                </c:pt>
                <c:pt idx="125">
                  <c:v>Sep 26, 2024</c:v>
                </c:pt>
                <c:pt idx="126">
                  <c:v>Sep 25, 2024</c:v>
                </c:pt>
                <c:pt idx="127">
                  <c:v>Sep 24, 2024</c:v>
                </c:pt>
                <c:pt idx="128">
                  <c:v>Sep 23, 2024</c:v>
                </c:pt>
                <c:pt idx="129">
                  <c:v>Sep 20, 2024</c:v>
                </c:pt>
                <c:pt idx="130">
                  <c:v>Sep 19, 2024</c:v>
                </c:pt>
                <c:pt idx="131">
                  <c:v>Sep 18, 2024</c:v>
                </c:pt>
                <c:pt idx="132">
                  <c:v>Sep 17, 2024</c:v>
                </c:pt>
                <c:pt idx="133">
                  <c:v>Sep 16, 2024</c:v>
                </c:pt>
                <c:pt idx="134">
                  <c:v>Sep 13, 2024</c:v>
                </c:pt>
                <c:pt idx="135">
                  <c:v>Sep 12, 2024</c:v>
                </c:pt>
                <c:pt idx="136">
                  <c:v>Sep 11, 2024</c:v>
                </c:pt>
                <c:pt idx="137">
                  <c:v>Sep 10, 2024</c:v>
                </c:pt>
                <c:pt idx="138">
                  <c:v>Sep 9, 2024</c:v>
                </c:pt>
                <c:pt idx="139">
                  <c:v>Sep 6, 2024</c:v>
                </c:pt>
                <c:pt idx="140">
                  <c:v>Sep 5, 2024</c:v>
                </c:pt>
                <c:pt idx="141">
                  <c:v>Sep 4, 2024</c:v>
                </c:pt>
                <c:pt idx="142">
                  <c:v>Sep 3, 2024</c:v>
                </c:pt>
                <c:pt idx="143">
                  <c:v>Aug 30, 2024</c:v>
                </c:pt>
                <c:pt idx="144">
                  <c:v>Aug 29, 2024</c:v>
                </c:pt>
                <c:pt idx="145">
                  <c:v>Aug 28, 2024</c:v>
                </c:pt>
                <c:pt idx="146">
                  <c:v>Aug 27, 2024</c:v>
                </c:pt>
                <c:pt idx="147">
                  <c:v>Aug 26, 2024</c:v>
                </c:pt>
                <c:pt idx="148">
                  <c:v>Aug 23, 2024</c:v>
                </c:pt>
                <c:pt idx="149">
                  <c:v>Aug 22, 2024</c:v>
                </c:pt>
                <c:pt idx="150">
                  <c:v>Aug 21, 2024</c:v>
                </c:pt>
                <c:pt idx="151">
                  <c:v>Aug 20, 2024</c:v>
                </c:pt>
                <c:pt idx="152">
                  <c:v>Aug 19, 2024</c:v>
                </c:pt>
                <c:pt idx="153">
                  <c:v>Aug 16, 2024</c:v>
                </c:pt>
                <c:pt idx="154">
                  <c:v>Aug 15, 2024</c:v>
                </c:pt>
                <c:pt idx="155">
                  <c:v>Aug 14, 2024</c:v>
                </c:pt>
                <c:pt idx="156">
                  <c:v>Aug 13, 2024</c:v>
                </c:pt>
                <c:pt idx="157">
                  <c:v>Aug 12, 2024</c:v>
                </c:pt>
                <c:pt idx="158">
                  <c:v>Aug 9, 2024</c:v>
                </c:pt>
                <c:pt idx="159">
                  <c:v>Aug 8, 2024</c:v>
                </c:pt>
                <c:pt idx="160">
                  <c:v>Aug 7, 2024</c:v>
                </c:pt>
                <c:pt idx="161">
                  <c:v>Aug 6, 2024</c:v>
                </c:pt>
                <c:pt idx="162">
                  <c:v>Aug 5, 2024</c:v>
                </c:pt>
                <c:pt idx="163">
                  <c:v>Aug 2, 2024</c:v>
                </c:pt>
                <c:pt idx="164">
                  <c:v>Aug 1, 2024</c:v>
                </c:pt>
                <c:pt idx="165">
                  <c:v>Jul 31, 2024</c:v>
                </c:pt>
                <c:pt idx="166">
                  <c:v>Jul 30, 2024</c:v>
                </c:pt>
                <c:pt idx="167">
                  <c:v>Jul 29, 2024</c:v>
                </c:pt>
                <c:pt idx="168">
                  <c:v>Jul 26, 2024</c:v>
                </c:pt>
                <c:pt idx="169">
                  <c:v>Jul 25, 2024</c:v>
                </c:pt>
                <c:pt idx="170">
                  <c:v>Jul 24, 2024</c:v>
                </c:pt>
                <c:pt idx="171">
                  <c:v>Jul 23, 2024</c:v>
                </c:pt>
                <c:pt idx="172">
                  <c:v>Jul 22, 2024</c:v>
                </c:pt>
                <c:pt idx="173">
                  <c:v>Jul 19, 2024</c:v>
                </c:pt>
                <c:pt idx="174">
                  <c:v>Jul 18, 2024</c:v>
                </c:pt>
                <c:pt idx="175">
                  <c:v>Jul 17, 2024</c:v>
                </c:pt>
                <c:pt idx="176">
                  <c:v>Jul 16, 2024</c:v>
                </c:pt>
                <c:pt idx="177">
                  <c:v>Jul 15, 2024</c:v>
                </c:pt>
                <c:pt idx="178">
                  <c:v>Jul 12, 2024</c:v>
                </c:pt>
                <c:pt idx="179">
                  <c:v>Jul 11, 2024</c:v>
                </c:pt>
                <c:pt idx="180">
                  <c:v>Jul 10, 2024</c:v>
                </c:pt>
                <c:pt idx="181">
                  <c:v>Jul 9, 2024</c:v>
                </c:pt>
                <c:pt idx="182">
                  <c:v>Jul 8, 2024</c:v>
                </c:pt>
                <c:pt idx="183">
                  <c:v>Jul 5, 2024</c:v>
                </c:pt>
                <c:pt idx="184">
                  <c:v>Jul 3, 2024</c:v>
                </c:pt>
                <c:pt idx="185">
                  <c:v>Jul 2, 2024</c:v>
                </c:pt>
                <c:pt idx="186">
                  <c:v>Jul 1, 2024</c:v>
                </c:pt>
              </c:strCache>
            </c:strRef>
          </c:cat>
          <c:val>
            <c:numRef>
              <c:f>'Relative Strength Index'!$K$2:$K$188</c:f>
              <c:numCache>
                <c:formatCode>General</c:formatCode>
                <c:ptCount val="187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70</c:v>
                </c:pt>
                <c:pt idx="121">
                  <c:v>70</c:v>
                </c:pt>
                <c:pt idx="122">
                  <c:v>70</c:v>
                </c:pt>
                <c:pt idx="123">
                  <c:v>70</c:v>
                </c:pt>
                <c:pt idx="124">
                  <c:v>70</c:v>
                </c:pt>
                <c:pt idx="125">
                  <c:v>70</c:v>
                </c:pt>
                <c:pt idx="126">
                  <c:v>70</c:v>
                </c:pt>
                <c:pt idx="127">
                  <c:v>70</c:v>
                </c:pt>
                <c:pt idx="128">
                  <c:v>70</c:v>
                </c:pt>
                <c:pt idx="129">
                  <c:v>70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70</c:v>
                </c:pt>
                <c:pt idx="134">
                  <c:v>70</c:v>
                </c:pt>
                <c:pt idx="135">
                  <c:v>70</c:v>
                </c:pt>
                <c:pt idx="136">
                  <c:v>70</c:v>
                </c:pt>
                <c:pt idx="137">
                  <c:v>70</c:v>
                </c:pt>
                <c:pt idx="138">
                  <c:v>70</c:v>
                </c:pt>
                <c:pt idx="139">
                  <c:v>70</c:v>
                </c:pt>
                <c:pt idx="140">
                  <c:v>70</c:v>
                </c:pt>
                <c:pt idx="141">
                  <c:v>70</c:v>
                </c:pt>
                <c:pt idx="142">
                  <c:v>70</c:v>
                </c:pt>
                <c:pt idx="143">
                  <c:v>70</c:v>
                </c:pt>
                <c:pt idx="144">
                  <c:v>70</c:v>
                </c:pt>
                <c:pt idx="145">
                  <c:v>70</c:v>
                </c:pt>
                <c:pt idx="146">
                  <c:v>70</c:v>
                </c:pt>
                <c:pt idx="147">
                  <c:v>70</c:v>
                </c:pt>
                <c:pt idx="148">
                  <c:v>70</c:v>
                </c:pt>
                <c:pt idx="149">
                  <c:v>70</c:v>
                </c:pt>
                <c:pt idx="150">
                  <c:v>70</c:v>
                </c:pt>
                <c:pt idx="151">
                  <c:v>70</c:v>
                </c:pt>
                <c:pt idx="152">
                  <c:v>70</c:v>
                </c:pt>
                <c:pt idx="153">
                  <c:v>70</c:v>
                </c:pt>
                <c:pt idx="154">
                  <c:v>70</c:v>
                </c:pt>
                <c:pt idx="155">
                  <c:v>70</c:v>
                </c:pt>
                <c:pt idx="156">
                  <c:v>70</c:v>
                </c:pt>
                <c:pt idx="157">
                  <c:v>70</c:v>
                </c:pt>
                <c:pt idx="158">
                  <c:v>70</c:v>
                </c:pt>
                <c:pt idx="159">
                  <c:v>70</c:v>
                </c:pt>
                <c:pt idx="160">
                  <c:v>70</c:v>
                </c:pt>
                <c:pt idx="161">
                  <c:v>70</c:v>
                </c:pt>
                <c:pt idx="162">
                  <c:v>70</c:v>
                </c:pt>
                <c:pt idx="163">
                  <c:v>70</c:v>
                </c:pt>
                <c:pt idx="164">
                  <c:v>70</c:v>
                </c:pt>
                <c:pt idx="165">
                  <c:v>70</c:v>
                </c:pt>
                <c:pt idx="166">
                  <c:v>70</c:v>
                </c:pt>
                <c:pt idx="167">
                  <c:v>70</c:v>
                </c:pt>
                <c:pt idx="168">
                  <c:v>70</c:v>
                </c:pt>
                <c:pt idx="169">
                  <c:v>70</c:v>
                </c:pt>
                <c:pt idx="170">
                  <c:v>70</c:v>
                </c:pt>
                <c:pt idx="171">
                  <c:v>70</c:v>
                </c:pt>
                <c:pt idx="172">
                  <c:v>70</c:v>
                </c:pt>
                <c:pt idx="173">
                  <c:v>70</c:v>
                </c:pt>
                <c:pt idx="174">
                  <c:v>70</c:v>
                </c:pt>
                <c:pt idx="175">
                  <c:v>70</c:v>
                </c:pt>
                <c:pt idx="176">
                  <c:v>70</c:v>
                </c:pt>
                <c:pt idx="177">
                  <c:v>70</c:v>
                </c:pt>
                <c:pt idx="178">
                  <c:v>70</c:v>
                </c:pt>
                <c:pt idx="179">
                  <c:v>70</c:v>
                </c:pt>
                <c:pt idx="180">
                  <c:v>70</c:v>
                </c:pt>
                <c:pt idx="181">
                  <c:v>70</c:v>
                </c:pt>
                <c:pt idx="182">
                  <c:v>70</c:v>
                </c:pt>
                <c:pt idx="183">
                  <c:v>70</c:v>
                </c:pt>
                <c:pt idx="184">
                  <c:v>70</c:v>
                </c:pt>
                <c:pt idx="185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5D-4755-89C4-600BF54C4A87}"/>
            </c:ext>
          </c:extLst>
        </c:ser>
        <c:ser>
          <c:idx val="2"/>
          <c:order val="2"/>
          <c:tx>
            <c:strRef>
              <c:f>'Relative Strength Index'!$L$1</c:f>
              <c:strCache>
                <c:ptCount val="1"/>
                <c:pt idx="0">
                  <c:v>OverSold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'Relative Strength Index'!$A$2:$A$188</c:f>
              <c:strCache>
                <c:ptCount val="187"/>
                <c:pt idx="0">
                  <c:v>Mar 28, 2025</c:v>
                </c:pt>
                <c:pt idx="1">
                  <c:v>Mar 27, 2025</c:v>
                </c:pt>
                <c:pt idx="2">
                  <c:v>Mar 26, 2025</c:v>
                </c:pt>
                <c:pt idx="3">
                  <c:v>Mar 25, 2025</c:v>
                </c:pt>
                <c:pt idx="4">
                  <c:v>Mar 24, 2025</c:v>
                </c:pt>
                <c:pt idx="5">
                  <c:v>Mar 21, 2025</c:v>
                </c:pt>
                <c:pt idx="6">
                  <c:v>Mar 20, 2025</c:v>
                </c:pt>
                <c:pt idx="7">
                  <c:v>Mar 19, 2025</c:v>
                </c:pt>
                <c:pt idx="8">
                  <c:v>Mar 18, 2025</c:v>
                </c:pt>
                <c:pt idx="9">
                  <c:v>Mar 17, 2025</c:v>
                </c:pt>
                <c:pt idx="10">
                  <c:v>Mar 14, 2025</c:v>
                </c:pt>
                <c:pt idx="11">
                  <c:v>Mar 13, 2025</c:v>
                </c:pt>
                <c:pt idx="12">
                  <c:v>Mar 12, 2025</c:v>
                </c:pt>
                <c:pt idx="13">
                  <c:v>Mar 11, 2025</c:v>
                </c:pt>
                <c:pt idx="14">
                  <c:v>Mar 10, 2025</c:v>
                </c:pt>
                <c:pt idx="15">
                  <c:v>Mar 7, 2025</c:v>
                </c:pt>
                <c:pt idx="16">
                  <c:v>Mar 6, 2025</c:v>
                </c:pt>
                <c:pt idx="17">
                  <c:v>Mar 5, 2025</c:v>
                </c:pt>
                <c:pt idx="18">
                  <c:v>Mar 4, 2025</c:v>
                </c:pt>
                <c:pt idx="19">
                  <c:v>Mar 3, 2025</c:v>
                </c:pt>
                <c:pt idx="20">
                  <c:v>Feb 28, 2025</c:v>
                </c:pt>
                <c:pt idx="21">
                  <c:v>Feb 27, 2025</c:v>
                </c:pt>
                <c:pt idx="22">
                  <c:v>Feb 26, 2025</c:v>
                </c:pt>
                <c:pt idx="23">
                  <c:v>Feb 25, 2025</c:v>
                </c:pt>
                <c:pt idx="24">
                  <c:v>Feb 24, 2025</c:v>
                </c:pt>
                <c:pt idx="25">
                  <c:v>Feb 21, 2025</c:v>
                </c:pt>
                <c:pt idx="26">
                  <c:v>Feb 20, 2025</c:v>
                </c:pt>
                <c:pt idx="27">
                  <c:v>Feb 19, 2025</c:v>
                </c:pt>
                <c:pt idx="28">
                  <c:v>Feb 18, 2025</c:v>
                </c:pt>
                <c:pt idx="29">
                  <c:v>Feb 14, 2025</c:v>
                </c:pt>
                <c:pt idx="30">
                  <c:v>Feb 13, 2025</c:v>
                </c:pt>
                <c:pt idx="31">
                  <c:v>Feb 12, 2025</c:v>
                </c:pt>
                <c:pt idx="32">
                  <c:v>Feb 11, 2025</c:v>
                </c:pt>
                <c:pt idx="33">
                  <c:v>Feb 10, 2025</c:v>
                </c:pt>
                <c:pt idx="34">
                  <c:v>Feb 7, 2025</c:v>
                </c:pt>
                <c:pt idx="35">
                  <c:v>Feb 6, 2025</c:v>
                </c:pt>
                <c:pt idx="36">
                  <c:v>Feb 5, 2025</c:v>
                </c:pt>
                <c:pt idx="37">
                  <c:v>Feb 4, 2025</c:v>
                </c:pt>
                <c:pt idx="38">
                  <c:v>Feb 3, 2025</c:v>
                </c:pt>
                <c:pt idx="39">
                  <c:v>Jan 31, 2025</c:v>
                </c:pt>
                <c:pt idx="40">
                  <c:v>Jan 30, 2025</c:v>
                </c:pt>
                <c:pt idx="41">
                  <c:v>Jan 29, 2025</c:v>
                </c:pt>
                <c:pt idx="42">
                  <c:v>Jan 28, 2025</c:v>
                </c:pt>
                <c:pt idx="43">
                  <c:v>Jan 27, 2025</c:v>
                </c:pt>
                <c:pt idx="44">
                  <c:v>Jan 24, 2025</c:v>
                </c:pt>
                <c:pt idx="45">
                  <c:v>Jan 23, 2025</c:v>
                </c:pt>
                <c:pt idx="46">
                  <c:v>Jan 22, 2025</c:v>
                </c:pt>
                <c:pt idx="47">
                  <c:v>Jan 21, 2025</c:v>
                </c:pt>
                <c:pt idx="48">
                  <c:v>Jan 17, 2025</c:v>
                </c:pt>
                <c:pt idx="49">
                  <c:v>Jan 16, 2025</c:v>
                </c:pt>
                <c:pt idx="50">
                  <c:v>Jan 15, 2025</c:v>
                </c:pt>
                <c:pt idx="51">
                  <c:v>Jan 14, 2025</c:v>
                </c:pt>
                <c:pt idx="52">
                  <c:v>Jan 13, 2025</c:v>
                </c:pt>
                <c:pt idx="53">
                  <c:v>Jan 10, 2025</c:v>
                </c:pt>
                <c:pt idx="54">
                  <c:v>Jan 8, 2025</c:v>
                </c:pt>
                <c:pt idx="55">
                  <c:v>Jan 7, 2025</c:v>
                </c:pt>
                <c:pt idx="56">
                  <c:v>Jan 6, 2025</c:v>
                </c:pt>
                <c:pt idx="57">
                  <c:v>Jan 3, 2025</c:v>
                </c:pt>
                <c:pt idx="58">
                  <c:v>Jan 2, 2025</c:v>
                </c:pt>
                <c:pt idx="59">
                  <c:v>Dec 31, 2024</c:v>
                </c:pt>
                <c:pt idx="60">
                  <c:v>Dec 30, 2024</c:v>
                </c:pt>
                <c:pt idx="61">
                  <c:v>Dec 27, 2024</c:v>
                </c:pt>
                <c:pt idx="62">
                  <c:v>Dec 26, 2024</c:v>
                </c:pt>
                <c:pt idx="63">
                  <c:v>Dec 24, 2024</c:v>
                </c:pt>
                <c:pt idx="64">
                  <c:v>Dec 23, 2024</c:v>
                </c:pt>
                <c:pt idx="65">
                  <c:v>Dec 20, 2024</c:v>
                </c:pt>
                <c:pt idx="66">
                  <c:v>Dec 19, 2024</c:v>
                </c:pt>
                <c:pt idx="67">
                  <c:v>Dec 18, 2024</c:v>
                </c:pt>
                <c:pt idx="68">
                  <c:v>Dec 17, 2024</c:v>
                </c:pt>
                <c:pt idx="69">
                  <c:v>Dec 16, 2024</c:v>
                </c:pt>
                <c:pt idx="70">
                  <c:v>Dec 13, 2024</c:v>
                </c:pt>
                <c:pt idx="71">
                  <c:v>Dec 12, 2024</c:v>
                </c:pt>
                <c:pt idx="72">
                  <c:v>Dec 11, 2024</c:v>
                </c:pt>
                <c:pt idx="73">
                  <c:v>Dec 10, 2024</c:v>
                </c:pt>
                <c:pt idx="74">
                  <c:v>Dec 9, 2024</c:v>
                </c:pt>
                <c:pt idx="75">
                  <c:v>Dec 6, 2024</c:v>
                </c:pt>
                <c:pt idx="76">
                  <c:v>Dec 5, 2024</c:v>
                </c:pt>
                <c:pt idx="77">
                  <c:v>Dec 4, 2024</c:v>
                </c:pt>
                <c:pt idx="78">
                  <c:v>Dec 3, 2024</c:v>
                </c:pt>
                <c:pt idx="79">
                  <c:v>Dec 2, 2024</c:v>
                </c:pt>
                <c:pt idx="80">
                  <c:v>Nov 29, 2024</c:v>
                </c:pt>
                <c:pt idx="81">
                  <c:v>Nov 27, 2024</c:v>
                </c:pt>
                <c:pt idx="82">
                  <c:v>Nov 26, 2024</c:v>
                </c:pt>
                <c:pt idx="83">
                  <c:v>Nov 25, 2024</c:v>
                </c:pt>
                <c:pt idx="84">
                  <c:v>Nov 22, 2024</c:v>
                </c:pt>
                <c:pt idx="85">
                  <c:v>Nov 21, 2024</c:v>
                </c:pt>
                <c:pt idx="86">
                  <c:v>Nov 20, 2024</c:v>
                </c:pt>
                <c:pt idx="87">
                  <c:v>Nov 19, 2024</c:v>
                </c:pt>
                <c:pt idx="88">
                  <c:v>Nov 18, 2024</c:v>
                </c:pt>
                <c:pt idx="89">
                  <c:v>Nov 15, 2024</c:v>
                </c:pt>
                <c:pt idx="90">
                  <c:v>Nov 14, 2024</c:v>
                </c:pt>
                <c:pt idx="91">
                  <c:v>Nov 13, 2024</c:v>
                </c:pt>
                <c:pt idx="92">
                  <c:v>Nov 12, 2024</c:v>
                </c:pt>
                <c:pt idx="93">
                  <c:v>Nov 11, 2024</c:v>
                </c:pt>
                <c:pt idx="94">
                  <c:v>Nov 8, 2024</c:v>
                </c:pt>
                <c:pt idx="95">
                  <c:v>Nov 7, 2024</c:v>
                </c:pt>
                <c:pt idx="96">
                  <c:v>Nov 6, 2024</c:v>
                </c:pt>
                <c:pt idx="97">
                  <c:v>Nov 5, 2024</c:v>
                </c:pt>
                <c:pt idx="98">
                  <c:v>Nov 4, 2024</c:v>
                </c:pt>
                <c:pt idx="99">
                  <c:v>Nov 1, 2024</c:v>
                </c:pt>
                <c:pt idx="100">
                  <c:v>Oct 31, 2024</c:v>
                </c:pt>
                <c:pt idx="101">
                  <c:v>Oct 30, 2024</c:v>
                </c:pt>
                <c:pt idx="102">
                  <c:v>Oct 29, 2024</c:v>
                </c:pt>
                <c:pt idx="103">
                  <c:v>Oct 28, 2024</c:v>
                </c:pt>
                <c:pt idx="104">
                  <c:v>Oct 25, 2024</c:v>
                </c:pt>
                <c:pt idx="105">
                  <c:v>Oct 24, 2024</c:v>
                </c:pt>
                <c:pt idx="106">
                  <c:v>Oct 23, 2024</c:v>
                </c:pt>
                <c:pt idx="107">
                  <c:v>Oct 22, 2024</c:v>
                </c:pt>
                <c:pt idx="108">
                  <c:v>Oct 21, 2024</c:v>
                </c:pt>
                <c:pt idx="109">
                  <c:v>Oct 18, 2024</c:v>
                </c:pt>
                <c:pt idx="110">
                  <c:v>Oct 17, 2024</c:v>
                </c:pt>
                <c:pt idx="111">
                  <c:v>Oct 16, 2024</c:v>
                </c:pt>
                <c:pt idx="112">
                  <c:v>Oct 15, 2024</c:v>
                </c:pt>
                <c:pt idx="113">
                  <c:v>Oct 14, 2024</c:v>
                </c:pt>
                <c:pt idx="114">
                  <c:v>Oct 11, 2024</c:v>
                </c:pt>
                <c:pt idx="115">
                  <c:v>Oct 10, 2024</c:v>
                </c:pt>
                <c:pt idx="116">
                  <c:v>Oct 9, 2024</c:v>
                </c:pt>
                <c:pt idx="117">
                  <c:v>Oct 8, 2024</c:v>
                </c:pt>
                <c:pt idx="118">
                  <c:v>Oct 7, 2024</c:v>
                </c:pt>
                <c:pt idx="119">
                  <c:v>Oct 4, 2024</c:v>
                </c:pt>
                <c:pt idx="120">
                  <c:v>Oct 3, 2024</c:v>
                </c:pt>
                <c:pt idx="121">
                  <c:v>Oct 2, 2024</c:v>
                </c:pt>
                <c:pt idx="122">
                  <c:v>Oct 1, 2024</c:v>
                </c:pt>
                <c:pt idx="123">
                  <c:v>Sep 30, 2024</c:v>
                </c:pt>
                <c:pt idx="124">
                  <c:v>Sep 27, 2024</c:v>
                </c:pt>
                <c:pt idx="125">
                  <c:v>Sep 26, 2024</c:v>
                </c:pt>
                <c:pt idx="126">
                  <c:v>Sep 25, 2024</c:v>
                </c:pt>
                <c:pt idx="127">
                  <c:v>Sep 24, 2024</c:v>
                </c:pt>
                <c:pt idx="128">
                  <c:v>Sep 23, 2024</c:v>
                </c:pt>
                <c:pt idx="129">
                  <c:v>Sep 20, 2024</c:v>
                </c:pt>
                <c:pt idx="130">
                  <c:v>Sep 19, 2024</c:v>
                </c:pt>
                <c:pt idx="131">
                  <c:v>Sep 18, 2024</c:v>
                </c:pt>
                <c:pt idx="132">
                  <c:v>Sep 17, 2024</c:v>
                </c:pt>
                <c:pt idx="133">
                  <c:v>Sep 16, 2024</c:v>
                </c:pt>
                <c:pt idx="134">
                  <c:v>Sep 13, 2024</c:v>
                </c:pt>
                <c:pt idx="135">
                  <c:v>Sep 12, 2024</c:v>
                </c:pt>
                <c:pt idx="136">
                  <c:v>Sep 11, 2024</c:v>
                </c:pt>
                <c:pt idx="137">
                  <c:v>Sep 10, 2024</c:v>
                </c:pt>
                <c:pt idx="138">
                  <c:v>Sep 9, 2024</c:v>
                </c:pt>
                <c:pt idx="139">
                  <c:v>Sep 6, 2024</c:v>
                </c:pt>
                <c:pt idx="140">
                  <c:v>Sep 5, 2024</c:v>
                </c:pt>
                <c:pt idx="141">
                  <c:v>Sep 4, 2024</c:v>
                </c:pt>
                <c:pt idx="142">
                  <c:v>Sep 3, 2024</c:v>
                </c:pt>
                <c:pt idx="143">
                  <c:v>Aug 30, 2024</c:v>
                </c:pt>
                <c:pt idx="144">
                  <c:v>Aug 29, 2024</c:v>
                </c:pt>
                <c:pt idx="145">
                  <c:v>Aug 28, 2024</c:v>
                </c:pt>
                <c:pt idx="146">
                  <c:v>Aug 27, 2024</c:v>
                </c:pt>
                <c:pt idx="147">
                  <c:v>Aug 26, 2024</c:v>
                </c:pt>
                <c:pt idx="148">
                  <c:v>Aug 23, 2024</c:v>
                </c:pt>
                <c:pt idx="149">
                  <c:v>Aug 22, 2024</c:v>
                </c:pt>
                <c:pt idx="150">
                  <c:v>Aug 21, 2024</c:v>
                </c:pt>
                <c:pt idx="151">
                  <c:v>Aug 20, 2024</c:v>
                </c:pt>
                <c:pt idx="152">
                  <c:v>Aug 19, 2024</c:v>
                </c:pt>
                <c:pt idx="153">
                  <c:v>Aug 16, 2024</c:v>
                </c:pt>
                <c:pt idx="154">
                  <c:v>Aug 15, 2024</c:v>
                </c:pt>
                <c:pt idx="155">
                  <c:v>Aug 14, 2024</c:v>
                </c:pt>
                <c:pt idx="156">
                  <c:v>Aug 13, 2024</c:v>
                </c:pt>
                <c:pt idx="157">
                  <c:v>Aug 12, 2024</c:v>
                </c:pt>
                <c:pt idx="158">
                  <c:v>Aug 9, 2024</c:v>
                </c:pt>
                <c:pt idx="159">
                  <c:v>Aug 8, 2024</c:v>
                </c:pt>
                <c:pt idx="160">
                  <c:v>Aug 7, 2024</c:v>
                </c:pt>
                <c:pt idx="161">
                  <c:v>Aug 6, 2024</c:v>
                </c:pt>
                <c:pt idx="162">
                  <c:v>Aug 5, 2024</c:v>
                </c:pt>
                <c:pt idx="163">
                  <c:v>Aug 2, 2024</c:v>
                </c:pt>
                <c:pt idx="164">
                  <c:v>Aug 1, 2024</c:v>
                </c:pt>
                <c:pt idx="165">
                  <c:v>Jul 31, 2024</c:v>
                </c:pt>
                <c:pt idx="166">
                  <c:v>Jul 30, 2024</c:v>
                </c:pt>
                <c:pt idx="167">
                  <c:v>Jul 29, 2024</c:v>
                </c:pt>
                <c:pt idx="168">
                  <c:v>Jul 26, 2024</c:v>
                </c:pt>
                <c:pt idx="169">
                  <c:v>Jul 25, 2024</c:v>
                </c:pt>
                <c:pt idx="170">
                  <c:v>Jul 24, 2024</c:v>
                </c:pt>
                <c:pt idx="171">
                  <c:v>Jul 23, 2024</c:v>
                </c:pt>
                <c:pt idx="172">
                  <c:v>Jul 22, 2024</c:v>
                </c:pt>
                <c:pt idx="173">
                  <c:v>Jul 19, 2024</c:v>
                </c:pt>
                <c:pt idx="174">
                  <c:v>Jul 18, 2024</c:v>
                </c:pt>
                <c:pt idx="175">
                  <c:v>Jul 17, 2024</c:v>
                </c:pt>
                <c:pt idx="176">
                  <c:v>Jul 16, 2024</c:v>
                </c:pt>
                <c:pt idx="177">
                  <c:v>Jul 15, 2024</c:v>
                </c:pt>
                <c:pt idx="178">
                  <c:v>Jul 12, 2024</c:v>
                </c:pt>
                <c:pt idx="179">
                  <c:v>Jul 11, 2024</c:v>
                </c:pt>
                <c:pt idx="180">
                  <c:v>Jul 10, 2024</c:v>
                </c:pt>
                <c:pt idx="181">
                  <c:v>Jul 9, 2024</c:v>
                </c:pt>
                <c:pt idx="182">
                  <c:v>Jul 8, 2024</c:v>
                </c:pt>
                <c:pt idx="183">
                  <c:v>Jul 5, 2024</c:v>
                </c:pt>
                <c:pt idx="184">
                  <c:v>Jul 3, 2024</c:v>
                </c:pt>
                <c:pt idx="185">
                  <c:v>Jul 2, 2024</c:v>
                </c:pt>
                <c:pt idx="186">
                  <c:v>Jul 1, 2024</c:v>
                </c:pt>
              </c:strCache>
            </c:strRef>
          </c:cat>
          <c:val>
            <c:numRef>
              <c:f>'Relative Strength Index'!$L$2:$L$188</c:f>
              <c:numCache>
                <c:formatCode>General</c:formatCode>
                <c:ptCount val="187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30</c:v>
                </c:pt>
                <c:pt idx="38">
                  <c:v>30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30</c:v>
                </c:pt>
                <c:pt idx="58">
                  <c:v>30</c:v>
                </c:pt>
                <c:pt idx="59">
                  <c:v>30</c:v>
                </c:pt>
                <c:pt idx="60">
                  <c:v>30</c:v>
                </c:pt>
                <c:pt idx="61">
                  <c:v>30</c:v>
                </c:pt>
                <c:pt idx="62">
                  <c:v>30</c:v>
                </c:pt>
                <c:pt idx="63">
                  <c:v>30</c:v>
                </c:pt>
                <c:pt idx="64">
                  <c:v>30</c:v>
                </c:pt>
                <c:pt idx="65">
                  <c:v>30</c:v>
                </c:pt>
                <c:pt idx="66">
                  <c:v>30</c:v>
                </c:pt>
                <c:pt idx="67">
                  <c:v>30</c:v>
                </c:pt>
                <c:pt idx="68">
                  <c:v>30</c:v>
                </c:pt>
                <c:pt idx="69">
                  <c:v>30</c:v>
                </c:pt>
                <c:pt idx="70">
                  <c:v>30</c:v>
                </c:pt>
                <c:pt idx="71">
                  <c:v>30</c:v>
                </c:pt>
                <c:pt idx="72">
                  <c:v>30</c:v>
                </c:pt>
                <c:pt idx="73">
                  <c:v>30</c:v>
                </c:pt>
                <c:pt idx="74">
                  <c:v>30</c:v>
                </c:pt>
                <c:pt idx="75">
                  <c:v>30</c:v>
                </c:pt>
                <c:pt idx="76">
                  <c:v>30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30</c:v>
                </c:pt>
                <c:pt idx="82">
                  <c:v>30</c:v>
                </c:pt>
                <c:pt idx="83">
                  <c:v>30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30</c:v>
                </c:pt>
                <c:pt idx="90">
                  <c:v>30</c:v>
                </c:pt>
                <c:pt idx="91">
                  <c:v>30</c:v>
                </c:pt>
                <c:pt idx="92">
                  <c:v>30</c:v>
                </c:pt>
                <c:pt idx="93">
                  <c:v>30</c:v>
                </c:pt>
                <c:pt idx="94">
                  <c:v>30</c:v>
                </c:pt>
                <c:pt idx="95">
                  <c:v>30</c:v>
                </c:pt>
                <c:pt idx="96">
                  <c:v>30</c:v>
                </c:pt>
                <c:pt idx="97">
                  <c:v>30</c:v>
                </c:pt>
                <c:pt idx="98">
                  <c:v>30</c:v>
                </c:pt>
                <c:pt idx="99">
                  <c:v>30</c:v>
                </c:pt>
                <c:pt idx="100">
                  <c:v>30</c:v>
                </c:pt>
                <c:pt idx="101">
                  <c:v>30</c:v>
                </c:pt>
                <c:pt idx="102">
                  <c:v>30</c:v>
                </c:pt>
                <c:pt idx="103">
                  <c:v>30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30</c:v>
                </c:pt>
                <c:pt idx="111">
                  <c:v>30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30</c:v>
                </c:pt>
                <c:pt idx="118">
                  <c:v>30</c:v>
                </c:pt>
                <c:pt idx="119">
                  <c:v>30</c:v>
                </c:pt>
                <c:pt idx="120">
                  <c:v>30</c:v>
                </c:pt>
                <c:pt idx="121">
                  <c:v>30</c:v>
                </c:pt>
                <c:pt idx="122">
                  <c:v>30</c:v>
                </c:pt>
                <c:pt idx="123">
                  <c:v>30</c:v>
                </c:pt>
                <c:pt idx="124">
                  <c:v>30</c:v>
                </c:pt>
                <c:pt idx="125">
                  <c:v>30</c:v>
                </c:pt>
                <c:pt idx="126">
                  <c:v>30</c:v>
                </c:pt>
                <c:pt idx="127">
                  <c:v>30</c:v>
                </c:pt>
                <c:pt idx="128">
                  <c:v>30</c:v>
                </c:pt>
                <c:pt idx="129">
                  <c:v>30</c:v>
                </c:pt>
                <c:pt idx="130">
                  <c:v>30</c:v>
                </c:pt>
                <c:pt idx="131">
                  <c:v>30</c:v>
                </c:pt>
                <c:pt idx="132">
                  <c:v>30</c:v>
                </c:pt>
                <c:pt idx="133">
                  <c:v>30</c:v>
                </c:pt>
                <c:pt idx="134">
                  <c:v>30</c:v>
                </c:pt>
                <c:pt idx="135">
                  <c:v>30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  <c:pt idx="140">
                  <c:v>30</c:v>
                </c:pt>
                <c:pt idx="141">
                  <c:v>30</c:v>
                </c:pt>
                <c:pt idx="142">
                  <c:v>30</c:v>
                </c:pt>
                <c:pt idx="143">
                  <c:v>30</c:v>
                </c:pt>
                <c:pt idx="144">
                  <c:v>30</c:v>
                </c:pt>
                <c:pt idx="145">
                  <c:v>30</c:v>
                </c:pt>
                <c:pt idx="146">
                  <c:v>30</c:v>
                </c:pt>
                <c:pt idx="147">
                  <c:v>30</c:v>
                </c:pt>
                <c:pt idx="148">
                  <c:v>30</c:v>
                </c:pt>
                <c:pt idx="149">
                  <c:v>30</c:v>
                </c:pt>
                <c:pt idx="150">
                  <c:v>30</c:v>
                </c:pt>
                <c:pt idx="151">
                  <c:v>30</c:v>
                </c:pt>
                <c:pt idx="152">
                  <c:v>30</c:v>
                </c:pt>
                <c:pt idx="153">
                  <c:v>30</c:v>
                </c:pt>
                <c:pt idx="154">
                  <c:v>30</c:v>
                </c:pt>
                <c:pt idx="155">
                  <c:v>30</c:v>
                </c:pt>
                <c:pt idx="156">
                  <c:v>30</c:v>
                </c:pt>
                <c:pt idx="157">
                  <c:v>30</c:v>
                </c:pt>
                <c:pt idx="158">
                  <c:v>30</c:v>
                </c:pt>
                <c:pt idx="159">
                  <c:v>30</c:v>
                </c:pt>
                <c:pt idx="160">
                  <c:v>30</c:v>
                </c:pt>
                <c:pt idx="161">
                  <c:v>30</c:v>
                </c:pt>
                <c:pt idx="162">
                  <c:v>30</c:v>
                </c:pt>
                <c:pt idx="163">
                  <c:v>30</c:v>
                </c:pt>
                <c:pt idx="164">
                  <c:v>30</c:v>
                </c:pt>
                <c:pt idx="165">
                  <c:v>30</c:v>
                </c:pt>
                <c:pt idx="166">
                  <c:v>30</c:v>
                </c:pt>
                <c:pt idx="167">
                  <c:v>30</c:v>
                </c:pt>
                <c:pt idx="168">
                  <c:v>30</c:v>
                </c:pt>
                <c:pt idx="169">
                  <c:v>30</c:v>
                </c:pt>
                <c:pt idx="170">
                  <c:v>30</c:v>
                </c:pt>
                <c:pt idx="171">
                  <c:v>30</c:v>
                </c:pt>
                <c:pt idx="172">
                  <c:v>30</c:v>
                </c:pt>
                <c:pt idx="173">
                  <c:v>30</c:v>
                </c:pt>
                <c:pt idx="174">
                  <c:v>30</c:v>
                </c:pt>
                <c:pt idx="175">
                  <c:v>30</c:v>
                </c:pt>
                <c:pt idx="176">
                  <c:v>30</c:v>
                </c:pt>
                <c:pt idx="177">
                  <c:v>30</c:v>
                </c:pt>
                <c:pt idx="178">
                  <c:v>30</c:v>
                </c:pt>
                <c:pt idx="179">
                  <c:v>30</c:v>
                </c:pt>
                <c:pt idx="180">
                  <c:v>30</c:v>
                </c:pt>
                <c:pt idx="181">
                  <c:v>30</c:v>
                </c:pt>
                <c:pt idx="182">
                  <c:v>30</c:v>
                </c:pt>
                <c:pt idx="183">
                  <c:v>30</c:v>
                </c:pt>
                <c:pt idx="184">
                  <c:v>30</c:v>
                </c:pt>
                <c:pt idx="185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5D-4755-89C4-600BF54C4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6765951"/>
        <c:axId val="866768831"/>
      </c:lineChart>
      <c:catAx>
        <c:axId val="866765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768831"/>
        <c:crosses val="autoZero"/>
        <c:auto val="1"/>
        <c:lblAlgn val="ctr"/>
        <c:lblOffset val="100"/>
        <c:noMultiLvlLbl val="0"/>
      </c:catAx>
      <c:valAx>
        <c:axId val="86676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765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Bollinger Bands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'Bollinger Bands '!$B$1</c:f>
              <c:strCache>
                <c:ptCount val="1"/>
                <c:pt idx="0">
                  <c:v>KO Stock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'Bollinger Bands '!$A$2:$A$188</c:f>
              <c:strCache>
                <c:ptCount val="187"/>
                <c:pt idx="0">
                  <c:v>Mar 28, 2025</c:v>
                </c:pt>
                <c:pt idx="1">
                  <c:v>Mar 27, 2025</c:v>
                </c:pt>
                <c:pt idx="2">
                  <c:v>Mar 26, 2025</c:v>
                </c:pt>
                <c:pt idx="3">
                  <c:v>Mar 25, 2025</c:v>
                </c:pt>
                <c:pt idx="4">
                  <c:v>Mar 24, 2025</c:v>
                </c:pt>
                <c:pt idx="5">
                  <c:v>Mar 21, 2025</c:v>
                </c:pt>
                <c:pt idx="6">
                  <c:v>Mar 20, 2025</c:v>
                </c:pt>
                <c:pt idx="7">
                  <c:v>Mar 19, 2025</c:v>
                </c:pt>
                <c:pt idx="8">
                  <c:v>Mar 18, 2025</c:v>
                </c:pt>
                <c:pt idx="9">
                  <c:v>Mar 17, 2025</c:v>
                </c:pt>
                <c:pt idx="10">
                  <c:v>Mar 14, 2025</c:v>
                </c:pt>
                <c:pt idx="11">
                  <c:v>Mar 13, 2025</c:v>
                </c:pt>
                <c:pt idx="12">
                  <c:v>Mar 12, 2025</c:v>
                </c:pt>
                <c:pt idx="13">
                  <c:v>Mar 11, 2025</c:v>
                </c:pt>
                <c:pt idx="14">
                  <c:v>Mar 10, 2025</c:v>
                </c:pt>
                <c:pt idx="15">
                  <c:v>Mar 7, 2025</c:v>
                </c:pt>
                <c:pt idx="16">
                  <c:v>Mar 6, 2025</c:v>
                </c:pt>
                <c:pt idx="17">
                  <c:v>Mar 5, 2025</c:v>
                </c:pt>
                <c:pt idx="18">
                  <c:v>Mar 4, 2025</c:v>
                </c:pt>
                <c:pt idx="19">
                  <c:v>Mar 3, 2025</c:v>
                </c:pt>
                <c:pt idx="20">
                  <c:v>Feb 28, 2025</c:v>
                </c:pt>
                <c:pt idx="21">
                  <c:v>Feb 27, 2025</c:v>
                </c:pt>
                <c:pt idx="22">
                  <c:v>Feb 26, 2025</c:v>
                </c:pt>
                <c:pt idx="23">
                  <c:v>Feb 25, 2025</c:v>
                </c:pt>
                <c:pt idx="24">
                  <c:v>Feb 24, 2025</c:v>
                </c:pt>
                <c:pt idx="25">
                  <c:v>Feb 21, 2025</c:v>
                </c:pt>
                <c:pt idx="26">
                  <c:v>Feb 20, 2025</c:v>
                </c:pt>
                <c:pt idx="27">
                  <c:v>Feb 19, 2025</c:v>
                </c:pt>
                <c:pt idx="28">
                  <c:v>Feb 18, 2025</c:v>
                </c:pt>
                <c:pt idx="29">
                  <c:v>Feb 14, 2025</c:v>
                </c:pt>
                <c:pt idx="30">
                  <c:v>Feb 13, 2025</c:v>
                </c:pt>
                <c:pt idx="31">
                  <c:v>Feb 12, 2025</c:v>
                </c:pt>
                <c:pt idx="32">
                  <c:v>Feb 11, 2025</c:v>
                </c:pt>
                <c:pt idx="33">
                  <c:v>Feb 10, 2025</c:v>
                </c:pt>
                <c:pt idx="34">
                  <c:v>Feb 7, 2025</c:v>
                </c:pt>
                <c:pt idx="35">
                  <c:v>Feb 6, 2025</c:v>
                </c:pt>
                <c:pt idx="36">
                  <c:v>Feb 5, 2025</c:v>
                </c:pt>
                <c:pt idx="37">
                  <c:v>Feb 4, 2025</c:v>
                </c:pt>
                <c:pt idx="38">
                  <c:v>Feb 3, 2025</c:v>
                </c:pt>
                <c:pt idx="39">
                  <c:v>Jan 31, 2025</c:v>
                </c:pt>
                <c:pt idx="40">
                  <c:v>Jan 30, 2025</c:v>
                </c:pt>
                <c:pt idx="41">
                  <c:v>Jan 29, 2025</c:v>
                </c:pt>
                <c:pt idx="42">
                  <c:v>Jan 28, 2025</c:v>
                </c:pt>
                <c:pt idx="43">
                  <c:v>Jan 27, 2025</c:v>
                </c:pt>
                <c:pt idx="44">
                  <c:v>Jan 24, 2025</c:v>
                </c:pt>
                <c:pt idx="45">
                  <c:v>Jan 23, 2025</c:v>
                </c:pt>
                <c:pt idx="46">
                  <c:v>Jan 22, 2025</c:v>
                </c:pt>
                <c:pt idx="47">
                  <c:v>Jan 21, 2025</c:v>
                </c:pt>
                <c:pt idx="48">
                  <c:v>Jan 17, 2025</c:v>
                </c:pt>
                <c:pt idx="49">
                  <c:v>Jan 16, 2025</c:v>
                </c:pt>
                <c:pt idx="50">
                  <c:v>Jan 15, 2025</c:v>
                </c:pt>
                <c:pt idx="51">
                  <c:v>Jan 14, 2025</c:v>
                </c:pt>
                <c:pt idx="52">
                  <c:v>Jan 13, 2025</c:v>
                </c:pt>
                <c:pt idx="53">
                  <c:v>Jan 10, 2025</c:v>
                </c:pt>
                <c:pt idx="54">
                  <c:v>Jan 8, 2025</c:v>
                </c:pt>
                <c:pt idx="55">
                  <c:v>Jan 7, 2025</c:v>
                </c:pt>
                <c:pt idx="56">
                  <c:v>Jan 6, 2025</c:v>
                </c:pt>
                <c:pt idx="57">
                  <c:v>Jan 3, 2025</c:v>
                </c:pt>
                <c:pt idx="58">
                  <c:v>Jan 2, 2025</c:v>
                </c:pt>
                <c:pt idx="59">
                  <c:v>Dec 31, 2024</c:v>
                </c:pt>
                <c:pt idx="60">
                  <c:v>Dec 30, 2024</c:v>
                </c:pt>
                <c:pt idx="61">
                  <c:v>Dec 27, 2024</c:v>
                </c:pt>
                <c:pt idx="62">
                  <c:v>Dec 26, 2024</c:v>
                </c:pt>
                <c:pt idx="63">
                  <c:v>Dec 24, 2024</c:v>
                </c:pt>
                <c:pt idx="64">
                  <c:v>Dec 23, 2024</c:v>
                </c:pt>
                <c:pt idx="65">
                  <c:v>Dec 20, 2024</c:v>
                </c:pt>
                <c:pt idx="66">
                  <c:v>Dec 19, 2024</c:v>
                </c:pt>
                <c:pt idx="67">
                  <c:v>Dec 18, 2024</c:v>
                </c:pt>
                <c:pt idx="68">
                  <c:v>Dec 17, 2024</c:v>
                </c:pt>
                <c:pt idx="69">
                  <c:v>Dec 16, 2024</c:v>
                </c:pt>
                <c:pt idx="70">
                  <c:v>Dec 13, 2024</c:v>
                </c:pt>
                <c:pt idx="71">
                  <c:v>Dec 12, 2024</c:v>
                </c:pt>
                <c:pt idx="72">
                  <c:v>Dec 11, 2024</c:v>
                </c:pt>
                <c:pt idx="73">
                  <c:v>Dec 10, 2024</c:v>
                </c:pt>
                <c:pt idx="74">
                  <c:v>Dec 9, 2024</c:v>
                </c:pt>
                <c:pt idx="75">
                  <c:v>Dec 6, 2024</c:v>
                </c:pt>
                <c:pt idx="76">
                  <c:v>Dec 5, 2024</c:v>
                </c:pt>
                <c:pt idx="77">
                  <c:v>Dec 4, 2024</c:v>
                </c:pt>
                <c:pt idx="78">
                  <c:v>Dec 3, 2024</c:v>
                </c:pt>
                <c:pt idx="79">
                  <c:v>Dec 2, 2024</c:v>
                </c:pt>
                <c:pt idx="80">
                  <c:v>Nov 29, 2024</c:v>
                </c:pt>
                <c:pt idx="81">
                  <c:v>Nov 27, 2024</c:v>
                </c:pt>
                <c:pt idx="82">
                  <c:v>Nov 26, 2024</c:v>
                </c:pt>
                <c:pt idx="83">
                  <c:v>Nov 25, 2024</c:v>
                </c:pt>
                <c:pt idx="84">
                  <c:v>Nov 22, 2024</c:v>
                </c:pt>
                <c:pt idx="85">
                  <c:v>Nov 21, 2024</c:v>
                </c:pt>
                <c:pt idx="86">
                  <c:v>Nov 20, 2024</c:v>
                </c:pt>
                <c:pt idx="87">
                  <c:v>Nov 19, 2024</c:v>
                </c:pt>
                <c:pt idx="88">
                  <c:v>Nov 18, 2024</c:v>
                </c:pt>
                <c:pt idx="89">
                  <c:v>Nov 15, 2024</c:v>
                </c:pt>
                <c:pt idx="90">
                  <c:v>Nov 14, 2024</c:v>
                </c:pt>
                <c:pt idx="91">
                  <c:v>Nov 13, 2024</c:v>
                </c:pt>
                <c:pt idx="92">
                  <c:v>Nov 12, 2024</c:v>
                </c:pt>
                <c:pt idx="93">
                  <c:v>Nov 11, 2024</c:v>
                </c:pt>
                <c:pt idx="94">
                  <c:v>Nov 8, 2024</c:v>
                </c:pt>
                <c:pt idx="95">
                  <c:v>Nov 7, 2024</c:v>
                </c:pt>
                <c:pt idx="96">
                  <c:v>Nov 6, 2024</c:v>
                </c:pt>
                <c:pt idx="97">
                  <c:v>Nov 5, 2024</c:v>
                </c:pt>
                <c:pt idx="98">
                  <c:v>Nov 4, 2024</c:v>
                </c:pt>
                <c:pt idx="99">
                  <c:v>Nov 1, 2024</c:v>
                </c:pt>
                <c:pt idx="100">
                  <c:v>Oct 31, 2024</c:v>
                </c:pt>
                <c:pt idx="101">
                  <c:v>Oct 30, 2024</c:v>
                </c:pt>
                <c:pt idx="102">
                  <c:v>Oct 29, 2024</c:v>
                </c:pt>
                <c:pt idx="103">
                  <c:v>Oct 28, 2024</c:v>
                </c:pt>
                <c:pt idx="104">
                  <c:v>Oct 25, 2024</c:v>
                </c:pt>
                <c:pt idx="105">
                  <c:v>Oct 24, 2024</c:v>
                </c:pt>
                <c:pt idx="106">
                  <c:v>Oct 23, 2024</c:v>
                </c:pt>
                <c:pt idx="107">
                  <c:v>Oct 22, 2024</c:v>
                </c:pt>
                <c:pt idx="108">
                  <c:v>Oct 21, 2024</c:v>
                </c:pt>
                <c:pt idx="109">
                  <c:v>Oct 18, 2024</c:v>
                </c:pt>
                <c:pt idx="110">
                  <c:v>Oct 17, 2024</c:v>
                </c:pt>
                <c:pt idx="111">
                  <c:v>Oct 16, 2024</c:v>
                </c:pt>
                <c:pt idx="112">
                  <c:v>Oct 15, 2024</c:v>
                </c:pt>
                <c:pt idx="113">
                  <c:v>Oct 14, 2024</c:v>
                </c:pt>
                <c:pt idx="114">
                  <c:v>Oct 11, 2024</c:v>
                </c:pt>
                <c:pt idx="115">
                  <c:v>Oct 10, 2024</c:v>
                </c:pt>
                <c:pt idx="116">
                  <c:v>Oct 9, 2024</c:v>
                </c:pt>
                <c:pt idx="117">
                  <c:v>Oct 8, 2024</c:v>
                </c:pt>
                <c:pt idx="118">
                  <c:v>Oct 7, 2024</c:v>
                </c:pt>
                <c:pt idx="119">
                  <c:v>Oct 4, 2024</c:v>
                </c:pt>
                <c:pt idx="120">
                  <c:v>Oct 3, 2024</c:v>
                </c:pt>
                <c:pt idx="121">
                  <c:v>Oct 2, 2024</c:v>
                </c:pt>
                <c:pt idx="122">
                  <c:v>Oct 1, 2024</c:v>
                </c:pt>
                <c:pt idx="123">
                  <c:v>Sep 30, 2024</c:v>
                </c:pt>
                <c:pt idx="124">
                  <c:v>Sep 27, 2024</c:v>
                </c:pt>
                <c:pt idx="125">
                  <c:v>Sep 26, 2024</c:v>
                </c:pt>
                <c:pt idx="126">
                  <c:v>Sep 25, 2024</c:v>
                </c:pt>
                <c:pt idx="127">
                  <c:v>Sep 24, 2024</c:v>
                </c:pt>
                <c:pt idx="128">
                  <c:v>Sep 23, 2024</c:v>
                </c:pt>
                <c:pt idx="129">
                  <c:v>Sep 20, 2024</c:v>
                </c:pt>
                <c:pt idx="130">
                  <c:v>Sep 19, 2024</c:v>
                </c:pt>
                <c:pt idx="131">
                  <c:v>Sep 18, 2024</c:v>
                </c:pt>
                <c:pt idx="132">
                  <c:v>Sep 17, 2024</c:v>
                </c:pt>
                <c:pt idx="133">
                  <c:v>Sep 16, 2024</c:v>
                </c:pt>
                <c:pt idx="134">
                  <c:v>Sep 13, 2024</c:v>
                </c:pt>
                <c:pt idx="135">
                  <c:v>Sep 12, 2024</c:v>
                </c:pt>
                <c:pt idx="136">
                  <c:v>Sep 11, 2024</c:v>
                </c:pt>
                <c:pt idx="137">
                  <c:v>Sep 10, 2024</c:v>
                </c:pt>
                <c:pt idx="138">
                  <c:v>Sep 9, 2024</c:v>
                </c:pt>
                <c:pt idx="139">
                  <c:v>Sep 6, 2024</c:v>
                </c:pt>
                <c:pt idx="140">
                  <c:v>Sep 5, 2024</c:v>
                </c:pt>
                <c:pt idx="141">
                  <c:v>Sep 4, 2024</c:v>
                </c:pt>
                <c:pt idx="142">
                  <c:v>Sep 3, 2024</c:v>
                </c:pt>
                <c:pt idx="143">
                  <c:v>Aug 30, 2024</c:v>
                </c:pt>
                <c:pt idx="144">
                  <c:v>Aug 29, 2024</c:v>
                </c:pt>
                <c:pt idx="145">
                  <c:v>Aug 28, 2024</c:v>
                </c:pt>
                <c:pt idx="146">
                  <c:v>Aug 27, 2024</c:v>
                </c:pt>
                <c:pt idx="147">
                  <c:v>Aug 26, 2024</c:v>
                </c:pt>
                <c:pt idx="148">
                  <c:v>Aug 23, 2024</c:v>
                </c:pt>
                <c:pt idx="149">
                  <c:v>Aug 22, 2024</c:v>
                </c:pt>
                <c:pt idx="150">
                  <c:v>Aug 21, 2024</c:v>
                </c:pt>
                <c:pt idx="151">
                  <c:v>Aug 20, 2024</c:v>
                </c:pt>
                <c:pt idx="152">
                  <c:v>Aug 19, 2024</c:v>
                </c:pt>
                <c:pt idx="153">
                  <c:v>Aug 16, 2024</c:v>
                </c:pt>
                <c:pt idx="154">
                  <c:v>Aug 15, 2024</c:v>
                </c:pt>
                <c:pt idx="155">
                  <c:v>Aug 14, 2024</c:v>
                </c:pt>
                <c:pt idx="156">
                  <c:v>Aug 13, 2024</c:v>
                </c:pt>
                <c:pt idx="157">
                  <c:v>Aug 12, 2024</c:v>
                </c:pt>
                <c:pt idx="158">
                  <c:v>Aug 9, 2024</c:v>
                </c:pt>
                <c:pt idx="159">
                  <c:v>Aug 8, 2024</c:v>
                </c:pt>
                <c:pt idx="160">
                  <c:v>Aug 7, 2024</c:v>
                </c:pt>
                <c:pt idx="161">
                  <c:v>Aug 6, 2024</c:v>
                </c:pt>
                <c:pt idx="162">
                  <c:v>Aug 5, 2024</c:v>
                </c:pt>
                <c:pt idx="163">
                  <c:v>Aug 2, 2024</c:v>
                </c:pt>
                <c:pt idx="164">
                  <c:v>Aug 1, 2024</c:v>
                </c:pt>
                <c:pt idx="165">
                  <c:v>Jul 31, 2024</c:v>
                </c:pt>
                <c:pt idx="166">
                  <c:v>Jul 30, 2024</c:v>
                </c:pt>
                <c:pt idx="167">
                  <c:v>Jul 29, 2024</c:v>
                </c:pt>
                <c:pt idx="168">
                  <c:v>Jul 26, 2024</c:v>
                </c:pt>
                <c:pt idx="169">
                  <c:v>Jul 25, 2024</c:v>
                </c:pt>
                <c:pt idx="170">
                  <c:v>Jul 24, 2024</c:v>
                </c:pt>
                <c:pt idx="171">
                  <c:v>Jul 23, 2024</c:v>
                </c:pt>
                <c:pt idx="172">
                  <c:v>Jul 22, 2024</c:v>
                </c:pt>
                <c:pt idx="173">
                  <c:v>Jul 19, 2024</c:v>
                </c:pt>
                <c:pt idx="174">
                  <c:v>Jul 18, 2024</c:v>
                </c:pt>
                <c:pt idx="175">
                  <c:v>Jul 17, 2024</c:v>
                </c:pt>
                <c:pt idx="176">
                  <c:v>Jul 16, 2024</c:v>
                </c:pt>
                <c:pt idx="177">
                  <c:v>Jul 15, 2024</c:v>
                </c:pt>
                <c:pt idx="178">
                  <c:v>Jul 12, 2024</c:v>
                </c:pt>
                <c:pt idx="179">
                  <c:v>Jul 11, 2024</c:v>
                </c:pt>
                <c:pt idx="180">
                  <c:v>Jul 10, 2024</c:v>
                </c:pt>
                <c:pt idx="181">
                  <c:v>Jul 9, 2024</c:v>
                </c:pt>
                <c:pt idx="182">
                  <c:v>Jul 8, 2024</c:v>
                </c:pt>
                <c:pt idx="183">
                  <c:v>Jul 5, 2024</c:v>
                </c:pt>
                <c:pt idx="184">
                  <c:v>Jul 3, 2024</c:v>
                </c:pt>
                <c:pt idx="185">
                  <c:v>Jul 2, 2024</c:v>
                </c:pt>
                <c:pt idx="186">
                  <c:v>Jul 1, 2024</c:v>
                </c:pt>
              </c:strCache>
            </c:strRef>
          </c:cat>
          <c:val>
            <c:numRef>
              <c:f>'Bollinger Bands '!$B$2:$B$188</c:f>
              <c:numCache>
                <c:formatCode>General</c:formatCode>
                <c:ptCount val="187"/>
                <c:pt idx="0">
                  <c:v>70.37</c:v>
                </c:pt>
                <c:pt idx="1">
                  <c:v>70.739999999999995</c:v>
                </c:pt>
                <c:pt idx="2">
                  <c:v>70.02</c:v>
                </c:pt>
                <c:pt idx="3">
                  <c:v>68.81</c:v>
                </c:pt>
                <c:pt idx="4">
                  <c:v>68.95</c:v>
                </c:pt>
                <c:pt idx="5">
                  <c:v>68.67</c:v>
                </c:pt>
                <c:pt idx="6">
                  <c:v>69.709999999999994</c:v>
                </c:pt>
                <c:pt idx="7">
                  <c:v>69.28</c:v>
                </c:pt>
                <c:pt idx="8">
                  <c:v>69.38</c:v>
                </c:pt>
                <c:pt idx="9">
                  <c:v>70.12</c:v>
                </c:pt>
                <c:pt idx="10">
                  <c:v>69.16</c:v>
                </c:pt>
                <c:pt idx="11">
                  <c:v>69.11</c:v>
                </c:pt>
                <c:pt idx="12">
                  <c:v>69.430000000000007</c:v>
                </c:pt>
                <c:pt idx="13">
                  <c:v>70.52</c:v>
                </c:pt>
                <c:pt idx="14">
                  <c:v>70.930000000000007</c:v>
                </c:pt>
                <c:pt idx="15">
                  <c:v>70.91</c:v>
                </c:pt>
                <c:pt idx="16">
                  <c:v>69.94</c:v>
                </c:pt>
                <c:pt idx="17">
                  <c:v>69.569999999999993</c:v>
                </c:pt>
                <c:pt idx="18">
                  <c:v>69.680000000000007</c:v>
                </c:pt>
                <c:pt idx="19">
                  <c:v>71.790000000000006</c:v>
                </c:pt>
                <c:pt idx="20">
                  <c:v>70.69</c:v>
                </c:pt>
                <c:pt idx="21">
                  <c:v>70.349999999999994</c:v>
                </c:pt>
                <c:pt idx="22">
                  <c:v>70.28</c:v>
                </c:pt>
                <c:pt idx="23">
                  <c:v>70.97</c:v>
                </c:pt>
                <c:pt idx="24">
                  <c:v>70.069999999999993</c:v>
                </c:pt>
                <c:pt idx="25">
                  <c:v>70.83</c:v>
                </c:pt>
                <c:pt idx="26">
                  <c:v>69.53</c:v>
                </c:pt>
                <c:pt idx="27">
                  <c:v>69.56</c:v>
                </c:pt>
                <c:pt idx="28">
                  <c:v>68.540000000000006</c:v>
                </c:pt>
                <c:pt idx="29">
                  <c:v>68.37</c:v>
                </c:pt>
                <c:pt idx="30">
                  <c:v>68.989999999999995</c:v>
                </c:pt>
                <c:pt idx="31">
                  <c:v>68.209999999999994</c:v>
                </c:pt>
                <c:pt idx="32">
                  <c:v>67.099999999999994</c:v>
                </c:pt>
                <c:pt idx="33">
                  <c:v>64.08</c:v>
                </c:pt>
                <c:pt idx="34">
                  <c:v>63.37</c:v>
                </c:pt>
                <c:pt idx="35">
                  <c:v>62.9</c:v>
                </c:pt>
                <c:pt idx="36">
                  <c:v>62.66</c:v>
                </c:pt>
                <c:pt idx="37">
                  <c:v>62.21</c:v>
                </c:pt>
                <c:pt idx="38">
                  <c:v>62.89</c:v>
                </c:pt>
                <c:pt idx="39">
                  <c:v>63.01</c:v>
                </c:pt>
                <c:pt idx="40">
                  <c:v>63.58</c:v>
                </c:pt>
                <c:pt idx="41">
                  <c:v>62.37</c:v>
                </c:pt>
                <c:pt idx="42">
                  <c:v>61.9</c:v>
                </c:pt>
                <c:pt idx="43">
                  <c:v>63.4</c:v>
                </c:pt>
                <c:pt idx="44">
                  <c:v>61.47</c:v>
                </c:pt>
                <c:pt idx="45">
                  <c:v>61.08</c:v>
                </c:pt>
                <c:pt idx="46">
                  <c:v>61.33</c:v>
                </c:pt>
                <c:pt idx="47">
                  <c:v>61.96</c:v>
                </c:pt>
                <c:pt idx="48">
                  <c:v>62.25</c:v>
                </c:pt>
                <c:pt idx="49">
                  <c:v>61.79</c:v>
                </c:pt>
                <c:pt idx="50">
                  <c:v>61.32</c:v>
                </c:pt>
                <c:pt idx="51">
                  <c:v>61.59</c:v>
                </c:pt>
                <c:pt idx="52">
                  <c:v>61.2</c:v>
                </c:pt>
                <c:pt idx="53">
                  <c:v>60.62</c:v>
                </c:pt>
                <c:pt idx="54">
                  <c:v>61.26</c:v>
                </c:pt>
                <c:pt idx="55">
                  <c:v>60.39</c:v>
                </c:pt>
                <c:pt idx="56">
                  <c:v>60.36</c:v>
                </c:pt>
                <c:pt idx="57">
                  <c:v>61.3</c:v>
                </c:pt>
                <c:pt idx="58">
                  <c:v>61.39</c:v>
                </c:pt>
                <c:pt idx="59">
                  <c:v>61.8</c:v>
                </c:pt>
                <c:pt idx="60">
                  <c:v>61.58</c:v>
                </c:pt>
                <c:pt idx="61">
                  <c:v>61.99</c:v>
                </c:pt>
                <c:pt idx="62">
                  <c:v>62.11</c:v>
                </c:pt>
                <c:pt idx="63">
                  <c:v>62.38</c:v>
                </c:pt>
                <c:pt idx="64">
                  <c:v>61.92</c:v>
                </c:pt>
                <c:pt idx="65">
                  <c:v>62.09</c:v>
                </c:pt>
                <c:pt idx="66">
                  <c:v>61.99</c:v>
                </c:pt>
                <c:pt idx="67">
                  <c:v>62.39</c:v>
                </c:pt>
                <c:pt idx="68">
                  <c:v>62.94</c:v>
                </c:pt>
                <c:pt idx="69">
                  <c:v>62.09</c:v>
                </c:pt>
                <c:pt idx="70">
                  <c:v>62.66</c:v>
                </c:pt>
                <c:pt idx="71">
                  <c:v>63.37</c:v>
                </c:pt>
                <c:pt idx="72">
                  <c:v>62.18</c:v>
                </c:pt>
                <c:pt idx="73">
                  <c:v>62.45</c:v>
                </c:pt>
                <c:pt idx="74">
                  <c:v>62.14</c:v>
                </c:pt>
                <c:pt idx="75">
                  <c:v>62.07</c:v>
                </c:pt>
                <c:pt idx="76">
                  <c:v>62.46</c:v>
                </c:pt>
                <c:pt idx="77">
                  <c:v>61.75</c:v>
                </c:pt>
                <c:pt idx="78">
                  <c:v>63.05</c:v>
                </c:pt>
                <c:pt idx="79">
                  <c:v>63.18</c:v>
                </c:pt>
                <c:pt idx="80">
                  <c:v>63.61</c:v>
                </c:pt>
                <c:pt idx="81">
                  <c:v>63.48</c:v>
                </c:pt>
                <c:pt idx="82">
                  <c:v>63.59</c:v>
                </c:pt>
                <c:pt idx="83">
                  <c:v>63.43</c:v>
                </c:pt>
                <c:pt idx="84">
                  <c:v>62.97</c:v>
                </c:pt>
                <c:pt idx="85">
                  <c:v>62.82</c:v>
                </c:pt>
                <c:pt idx="86">
                  <c:v>62.06</c:v>
                </c:pt>
                <c:pt idx="87">
                  <c:v>61.66</c:v>
                </c:pt>
                <c:pt idx="88">
                  <c:v>60.94</c:v>
                </c:pt>
                <c:pt idx="89">
                  <c:v>60.83</c:v>
                </c:pt>
                <c:pt idx="90">
                  <c:v>61.62</c:v>
                </c:pt>
                <c:pt idx="91">
                  <c:v>62.07</c:v>
                </c:pt>
                <c:pt idx="92">
                  <c:v>62.26</c:v>
                </c:pt>
                <c:pt idx="93">
                  <c:v>62.42</c:v>
                </c:pt>
                <c:pt idx="94">
                  <c:v>62.97</c:v>
                </c:pt>
                <c:pt idx="95">
                  <c:v>62.72</c:v>
                </c:pt>
                <c:pt idx="96">
                  <c:v>62.76</c:v>
                </c:pt>
                <c:pt idx="97">
                  <c:v>64.400000000000006</c:v>
                </c:pt>
                <c:pt idx="98">
                  <c:v>64.150000000000006</c:v>
                </c:pt>
                <c:pt idx="99">
                  <c:v>64.05</c:v>
                </c:pt>
                <c:pt idx="100">
                  <c:v>64.34</c:v>
                </c:pt>
                <c:pt idx="101">
                  <c:v>64.94</c:v>
                </c:pt>
                <c:pt idx="102">
                  <c:v>64.59</c:v>
                </c:pt>
                <c:pt idx="103">
                  <c:v>65.680000000000007</c:v>
                </c:pt>
                <c:pt idx="104">
                  <c:v>65.930000000000007</c:v>
                </c:pt>
                <c:pt idx="105">
                  <c:v>66.3</c:v>
                </c:pt>
                <c:pt idx="106">
                  <c:v>67</c:v>
                </c:pt>
                <c:pt idx="107">
                  <c:v>68.42</c:v>
                </c:pt>
                <c:pt idx="108">
                  <c:v>68.42</c:v>
                </c:pt>
                <c:pt idx="109">
                  <c:v>69.400000000000006</c:v>
                </c:pt>
                <c:pt idx="110">
                  <c:v>68.87</c:v>
                </c:pt>
                <c:pt idx="111">
                  <c:v>69.53</c:v>
                </c:pt>
                <c:pt idx="112">
                  <c:v>69.3</c:v>
                </c:pt>
                <c:pt idx="113">
                  <c:v>69.3</c:v>
                </c:pt>
                <c:pt idx="114">
                  <c:v>68.540000000000006</c:v>
                </c:pt>
                <c:pt idx="115">
                  <c:v>68.23</c:v>
                </c:pt>
                <c:pt idx="116">
                  <c:v>68.540000000000006</c:v>
                </c:pt>
                <c:pt idx="117">
                  <c:v>68.16</c:v>
                </c:pt>
                <c:pt idx="118">
                  <c:v>67.989999999999995</c:v>
                </c:pt>
                <c:pt idx="119">
                  <c:v>69.13</c:v>
                </c:pt>
                <c:pt idx="120">
                  <c:v>69.48</c:v>
                </c:pt>
                <c:pt idx="121">
                  <c:v>69.959999999999994</c:v>
                </c:pt>
                <c:pt idx="122">
                  <c:v>70.650000000000006</c:v>
                </c:pt>
                <c:pt idx="123">
                  <c:v>70.8</c:v>
                </c:pt>
                <c:pt idx="124">
                  <c:v>70.73</c:v>
                </c:pt>
                <c:pt idx="125">
                  <c:v>70.34</c:v>
                </c:pt>
                <c:pt idx="126">
                  <c:v>70.39</c:v>
                </c:pt>
                <c:pt idx="127">
                  <c:v>70.27</c:v>
                </c:pt>
                <c:pt idx="128">
                  <c:v>70.67</c:v>
                </c:pt>
                <c:pt idx="129">
                  <c:v>70.58</c:v>
                </c:pt>
                <c:pt idx="130">
                  <c:v>69.569999999999993</c:v>
                </c:pt>
                <c:pt idx="131">
                  <c:v>70.69</c:v>
                </c:pt>
                <c:pt idx="132">
                  <c:v>70.739999999999995</c:v>
                </c:pt>
                <c:pt idx="133">
                  <c:v>71.03</c:v>
                </c:pt>
                <c:pt idx="134">
                  <c:v>70.349999999999994</c:v>
                </c:pt>
                <c:pt idx="135">
                  <c:v>69.7</c:v>
                </c:pt>
                <c:pt idx="136">
                  <c:v>69.55</c:v>
                </c:pt>
                <c:pt idx="137">
                  <c:v>70.010000000000005</c:v>
                </c:pt>
                <c:pt idx="138">
                  <c:v>70.3</c:v>
                </c:pt>
                <c:pt idx="139">
                  <c:v>69.61</c:v>
                </c:pt>
                <c:pt idx="140">
                  <c:v>69.64</c:v>
                </c:pt>
                <c:pt idx="141">
                  <c:v>71</c:v>
                </c:pt>
                <c:pt idx="142">
                  <c:v>71.44</c:v>
                </c:pt>
                <c:pt idx="143">
                  <c:v>70.91</c:v>
                </c:pt>
                <c:pt idx="144">
                  <c:v>70.5</c:v>
                </c:pt>
                <c:pt idx="145">
                  <c:v>70.209999999999994</c:v>
                </c:pt>
                <c:pt idx="146">
                  <c:v>69.959999999999994</c:v>
                </c:pt>
                <c:pt idx="147">
                  <c:v>69.319999999999993</c:v>
                </c:pt>
                <c:pt idx="148">
                  <c:v>68.290000000000006</c:v>
                </c:pt>
                <c:pt idx="149">
                  <c:v>67.84</c:v>
                </c:pt>
                <c:pt idx="150">
                  <c:v>68.069999999999993</c:v>
                </c:pt>
                <c:pt idx="151">
                  <c:v>67.89</c:v>
                </c:pt>
                <c:pt idx="152">
                  <c:v>67.5</c:v>
                </c:pt>
                <c:pt idx="153">
                  <c:v>67.69</c:v>
                </c:pt>
                <c:pt idx="154">
                  <c:v>67.17</c:v>
                </c:pt>
                <c:pt idx="155">
                  <c:v>67.11</c:v>
                </c:pt>
                <c:pt idx="156">
                  <c:v>66.989999999999995</c:v>
                </c:pt>
                <c:pt idx="157">
                  <c:v>66.7</c:v>
                </c:pt>
                <c:pt idx="158">
                  <c:v>67.2</c:v>
                </c:pt>
                <c:pt idx="159">
                  <c:v>67.25</c:v>
                </c:pt>
                <c:pt idx="160">
                  <c:v>66.989999999999995</c:v>
                </c:pt>
                <c:pt idx="161">
                  <c:v>66.59</c:v>
                </c:pt>
                <c:pt idx="162">
                  <c:v>66.64</c:v>
                </c:pt>
                <c:pt idx="163">
                  <c:v>67.84</c:v>
                </c:pt>
                <c:pt idx="164">
                  <c:v>66.5</c:v>
                </c:pt>
                <c:pt idx="165">
                  <c:v>65.3</c:v>
                </c:pt>
                <c:pt idx="166">
                  <c:v>66.22</c:v>
                </c:pt>
                <c:pt idx="167">
                  <c:v>65.39</c:v>
                </c:pt>
                <c:pt idx="168">
                  <c:v>65.61</c:v>
                </c:pt>
                <c:pt idx="169">
                  <c:v>64.650000000000006</c:v>
                </c:pt>
                <c:pt idx="170">
                  <c:v>64.39</c:v>
                </c:pt>
                <c:pt idx="171">
                  <c:v>63.56</c:v>
                </c:pt>
                <c:pt idx="172">
                  <c:v>63.38</c:v>
                </c:pt>
                <c:pt idx="173">
                  <c:v>63.89</c:v>
                </c:pt>
                <c:pt idx="174">
                  <c:v>63.79</c:v>
                </c:pt>
                <c:pt idx="175">
                  <c:v>63.81</c:v>
                </c:pt>
                <c:pt idx="176">
                  <c:v>62.89</c:v>
                </c:pt>
                <c:pt idx="177">
                  <c:v>62.05</c:v>
                </c:pt>
                <c:pt idx="178">
                  <c:v>62.33</c:v>
                </c:pt>
                <c:pt idx="179">
                  <c:v>61.74</c:v>
                </c:pt>
                <c:pt idx="180">
                  <c:v>61.48</c:v>
                </c:pt>
                <c:pt idx="181">
                  <c:v>61.34</c:v>
                </c:pt>
                <c:pt idx="182">
                  <c:v>61.61</c:v>
                </c:pt>
                <c:pt idx="183">
                  <c:v>62.39</c:v>
                </c:pt>
                <c:pt idx="184">
                  <c:v>61.97</c:v>
                </c:pt>
                <c:pt idx="185">
                  <c:v>61.79</c:v>
                </c:pt>
                <c:pt idx="186">
                  <c:v>61.92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65-4AEB-9D64-15F30DA97FD6}"/>
            </c:ext>
          </c:extLst>
        </c:ser>
        <c:ser>
          <c:idx val="1"/>
          <c:order val="1"/>
          <c:tx>
            <c:strRef>
              <c:f>'Bollinger Bands '!$F$1</c:f>
              <c:strCache>
                <c:ptCount val="1"/>
                <c:pt idx="0">
                  <c:v>Upper Band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'Bollinger Bands '!$A$2:$A$188</c:f>
              <c:strCache>
                <c:ptCount val="187"/>
                <c:pt idx="0">
                  <c:v>Mar 28, 2025</c:v>
                </c:pt>
                <c:pt idx="1">
                  <c:v>Mar 27, 2025</c:v>
                </c:pt>
                <c:pt idx="2">
                  <c:v>Mar 26, 2025</c:v>
                </c:pt>
                <c:pt idx="3">
                  <c:v>Mar 25, 2025</c:v>
                </c:pt>
                <c:pt idx="4">
                  <c:v>Mar 24, 2025</c:v>
                </c:pt>
                <c:pt idx="5">
                  <c:v>Mar 21, 2025</c:v>
                </c:pt>
                <c:pt idx="6">
                  <c:v>Mar 20, 2025</c:v>
                </c:pt>
                <c:pt idx="7">
                  <c:v>Mar 19, 2025</c:v>
                </c:pt>
                <c:pt idx="8">
                  <c:v>Mar 18, 2025</c:v>
                </c:pt>
                <c:pt idx="9">
                  <c:v>Mar 17, 2025</c:v>
                </c:pt>
                <c:pt idx="10">
                  <c:v>Mar 14, 2025</c:v>
                </c:pt>
                <c:pt idx="11">
                  <c:v>Mar 13, 2025</c:v>
                </c:pt>
                <c:pt idx="12">
                  <c:v>Mar 12, 2025</c:v>
                </c:pt>
                <c:pt idx="13">
                  <c:v>Mar 11, 2025</c:v>
                </c:pt>
                <c:pt idx="14">
                  <c:v>Mar 10, 2025</c:v>
                </c:pt>
                <c:pt idx="15">
                  <c:v>Mar 7, 2025</c:v>
                </c:pt>
                <c:pt idx="16">
                  <c:v>Mar 6, 2025</c:v>
                </c:pt>
                <c:pt idx="17">
                  <c:v>Mar 5, 2025</c:v>
                </c:pt>
                <c:pt idx="18">
                  <c:v>Mar 4, 2025</c:v>
                </c:pt>
                <c:pt idx="19">
                  <c:v>Mar 3, 2025</c:v>
                </c:pt>
                <c:pt idx="20">
                  <c:v>Feb 28, 2025</c:v>
                </c:pt>
                <c:pt idx="21">
                  <c:v>Feb 27, 2025</c:v>
                </c:pt>
                <c:pt idx="22">
                  <c:v>Feb 26, 2025</c:v>
                </c:pt>
                <c:pt idx="23">
                  <c:v>Feb 25, 2025</c:v>
                </c:pt>
                <c:pt idx="24">
                  <c:v>Feb 24, 2025</c:v>
                </c:pt>
                <c:pt idx="25">
                  <c:v>Feb 21, 2025</c:v>
                </c:pt>
                <c:pt idx="26">
                  <c:v>Feb 20, 2025</c:v>
                </c:pt>
                <c:pt idx="27">
                  <c:v>Feb 19, 2025</c:v>
                </c:pt>
                <c:pt idx="28">
                  <c:v>Feb 18, 2025</c:v>
                </c:pt>
                <c:pt idx="29">
                  <c:v>Feb 14, 2025</c:v>
                </c:pt>
                <c:pt idx="30">
                  <c:v>Feb 13, 2025</c:v>
                </c:pt>
                <c:pt idx="31">
                  <c:v>Feb 12, 2025</c:v>
                </c:pt>
                <c:pt idx="32">
                  <c:v>Feb 11, 2025</c:v>
                </c:pt>
                <c:pt idx="33">
                  <c:v>Feb 10, 2025</c:v>
                </c:pt>
                <c:pt idx="34">
                  <c:v>Feb 7, 2025</c:v>
                </c:pt>
                <c:pt idx="35">
                  <c:v>Feb 6, 2025</c:v>
                </c:pt>
                <c:pt idx="36">
                  <c:v>Feb 5, 2025</c:v>
                </c:pt>
                <c:pt idx="37">
                  <c:v>Feb 4, 2025</c:v>
                </c:pt>
                <c:pt idx="38">
                  <c:v>Feb 3, 2025</c:v>
                </c:pt>
                <c:pt idx="39">
                  <c:v>Jan 31, 2025</c:v>
                </c:pt>
                <c:pt idx="40">
                  <c:v>Jan 30, 2025</c:v>
                </c:pt>
                <c:pt idx="41">
                  <c:v>Jan 29, 2025</c:v>
                </c:pt>
                <c:pt idx="42">
                  <c:v>Jan 28, 2025</c:v>
                </c:pt>
                <c:pt idx="43">
                  <c:v>Jan 27, 2025</c:v>
                </c:pt>
                <c:pt idx="44">
                  <c:v>Jan 24, 2025</c:v>
                </c:pt>
                <c:pt idx="45">
                  <c:v>Jan 23, 2025</c:v>
                </c:pt>
                <c:pt idx="46">
                  <c:v>Jan 22, 2025</c:v>
                </c:pt>
                <c:pt idx="47">
                  <c:v>Jan 21, 2025</c:v>
                </c:pt>
                <c:pt idx="48">
                  <c:v>Jan 17, 2025</c:v>
                </c:pt>
                <c:pt idx="49">
                  <c:v>Jan 16, 2025</c:v>
                </c:pt>
                <c:pt idx="50">
                  <c:v>Jan 15, 2025</c:v>
                </c:pt>
                <c:pt idx="51">
                  <c:v>Jan 14, 2025</c:v>
                </c:pt>
                <c:pt idx="52">
                  <c:v>Jan 13, 2025</c:v>
                </c:pt>
                <c:pt idx="53">
                  <c:v>Jan 10, 2025</c:v>
                </c:pt>
                <c:pt idx="54">
                  <c:v>Jan 8, 2025</c:v>
                </c:pt>
                <c:pt idx="55">
                  <c:v>Jan 7, 2025</c:v>
                </c:pt>
                <c:pt idx="56">
                  <c:v>Jan 6, 2025</c:v>
                </c:pt>
                <c:pt idx="57">
                  <c:v>Jan 3, 2025</c:v>
                </c:pt>
                <c:pt idx="58">
                  <c:v>Jan 2, 2025</c:v>
                </c:pt>
                <c:pt idx="59">
                  <c:v>Dec 31, 2024</c:v>
                </c:pt>
                <c:pt idx="60">
                  <c:v>Dec 30, 2024</c:v>
                </c:pt>
                <c:pt idx="61">
                  <c:v>Dec 27, 2024</c:v>
                </c:pt>
                <c:pt idx="62">
                  <c:v>Dec 26, 2024</c:v>
                </c:pt>
                <c:pt idx="63">
                  <c:v>Dec 24, 2024</c:v>
                </c:pt>
                <c:pt idx="64">
                  <c:v>Dec 23, 2024</c:v>
                </c:pt>
                <c:pt idx="65">
                  <c:v>Dec 20, 2024</c:v>
                </c:pt>
                <c:pt idx="66">
                  <c:v>Dec 19, 2024</c:v>
                </c:pt>
                <c:pt idx="67">
                  <c:v>Dec 18, 2024</c:v>
                </c:pt>
                <c:pt idx="68">
                  <c:v>Dec 17, 2024</c:v>
                </c:pt>
                <c:pt idx="69">
                  <c:v>Dec 16, 2024</c:v>
                </c:pt>
                <c:pt idx="70">
                  <c:v>Dec 13, 2024</c:v>
                </c:pt>
                <c:pt idx="71">
                  <c:v>Dec 12, 2024</c:v>
                </c:pt>
                <c:pt idx="72">
                  <c:v>Dec 11, 2024</c:v>
                </c:pt>
                <c:pt idx="73">
                  <c:v>Dec 10, 2024</c:v>
                </c:pt>
                <c:pt idx="74">
                  <c:v>Dec 9, 2024</c:v>
                </c:pt>
                <c:pt idx="75">
                  <c:v>Dec 6, 2024</c:v>
                </c:pt>
                <c:pt idx="76">
                  <c:v>Dec 5, 2024</c:v>
                </c:pt>
                <c:pt idx="77">
                  <c:v>Dec 4, 2024</c:v>
                </c:pt>
                <c:pt idx="78">
                  <c:v>Dec 3, 2024</c:v>
                </c:pt>
                <c:pt idx="79">
                  <c:v>Dec 2, 2024</c:v>
                </c:pt>
                <c:pt idx="80">
                  <c:v>Nov 29, 2024</c:v>
                </c:pt>
                <c:pt idx="81">
                  <c:v>Nov 27, 2024</c:v>
                </c:pt>
                <c:pt idx="82">
                  <c:v>Nov 26, 2024</c:v>
                </c:pt>
                <c:pt idx="83">
                  <c:v>Nov 25, 2024</c:v>
                </c:pt>
                <c:pt idx="84">
                  <c:v>Nov 22, 2024</c:v>
                </c:pt>
                <c:pt idx="85">
                  <c:v>Nov 21, 2024</c:v>
                </c:pt>
                <c:pt idx="86">
                  <c:v>Nov 20, 2024</c:v>
                </c:pt>
                <c:pt idx="87">
                  <c:v>Nov 19, 2024</c:v>
                </c:pt>
                <c:pt idx="88">
                  <c:v>Nov 18, 2024</c:v>
                </c:pt>
                <c:pt idx="89">
                  <c:v>Nov 15, 2024</c:v>
                </c:pt>
                <c:pt idx="90">
                  <c:v>Nov 14, 2024</c:v>
                </c:pt>
                <c:pt idx="91">
                  <c:v>Nov 13, 2024</c:v>
                </c:pt>
                <c:pt idx="92">
                  <c:v>Nov 12, 2024</c:v>
                </c:pt>
                <c:pt idx="93">
                  <c:v>Nov 11, 2024</c:v>
                </c:pt>
                <c:pt idx="94">
                  <c:v>Nov 8, 2024</c:v>
                </c:pt>
                <c:pt idx="95">
                  <c:v>Nov 7, 2024</c:v>
                </c:pt>
                <c:pt idx="96">
                  <c:v>Nov 6, 2024</c:v>
                </c:pt>
                <c:pt idx="97">
                  <c:v>Nov 5, 2024</c:v>
                </c:pt>
                <c:pt idx="98">
                  <c:v>Nov 4, 2024</c:v>
                </c:pt>
                <c:pt idx="99">
                  <c:v>Nov 1, 2024</c:v>
                </c:pt>
                <c:pt idx="100">
                  <c:v>Oct 31, 2024</c:v>
                </c:pt>
                <c:pt idx="101">
                  <c:v>Oct 30, 2024</c:v>
                </c:pt>
                <c:pt idx="102">
                  <c:v>Oct 29, 2024</c:v>
                </c:pt>
                <c:pt idx="103">
                  <c:v>Oct 28, 2024</c:v>
                </c:pt>
                <c:pt idx="104">
                  <c:v>Oct 25, 2024</c:v>
                </c:pt>
                <c:pt idx="105">
                  <c:v>Oct 24, 2024</c:v>
                </c:pt>
                <c:pt idx="106">
                  <c:v>Oct 23, 2024</c:v>
                </c:pt>
                <c:pt idx="107">
                  <c:v>Oct 22, 2024</c:v>
                </c:pt>
                <c:pt idx="108">
                  <c:v>Oct 21, 2024</c:v>
                </c:pt>
                <c:pt idx="109">
                  <c:v>Oct 18, 2024</c:v>
                </c:pt>
                <c:pt idx="110">
                  <c:v>Oct 17, 2024</c:v>
                </c:pt>
                <c:pt idx="111">
                  <c:v>Oct 16, 2024</c:v>
                </c:pt>
                <c:pt idx="112">
                  <c:v>Oct 15, 2024</c:v>
                </c:pt>
                <c:pt idx="113">
                  <c:v>Oct 14, 2024</c:v>
                </c:pt>
                <c:pt idx="114">
                  <c:v>Oct 11, 2024</c:v>
                </c:pt>
                <c:pt idx="115">
                  <c:v>Oct 10, 2024</c:v>
                </c:pt>
                <c:pt idx="116">
                  <c:v>Oct 9, 2024</c:v>
                </c:pt>
                <c:pt idx="117">
                  <c:v>Oct 8, 2024</c:v>
                </c:pt>
                <c:pt idx="118">
                  <c:v>Oct 7, 2024</c:v>
                </c:pt>
                <c:pt idx="119">
                  <c:v>Oct 4, 2024</c:v>
                </c:pt>
                <c:pt idx="120">
                  <c:v>Oct 3, 2024</c:v>
                </c:pt>
                <c:pt idx="121">
                  <c:v>Oct 2, 2024</c:v>
                </c:pt>
                <c:pt idx="122">
                  <c:v>Oct 1, 2024</c:v>
                </c:pt>
                <c:pt idx="123">
                  <c:v>Sep 30, 2024</c:v>
                </c:pt>
                <c:pt idx="124">
                  <c:v>Sep 27, 2024</c:v>
                </c:pt>
                <c:pt idx="125">
                  <c:v>Sep 26, 2024</c:v>
                </c:pt>
                <c:pt idx="126">
                  <c:v>Sep 25, 2024</c:v>
                </c:pt>
                <c:pt idx="127">
                  <c:v>Sep 24, 2024</c:v>
                </c:pt>
                <c:pt idx="128">
                  <c:v>Sep 23, 2024</c:v>
                </c:pt>
                <c:pt idx="129">
                  <c:v>Sep 20, 2024</c:v>
                </c:pt>
                <c:pt idx="130">
                  <c:v>Sep 19, 2024</c:v>
                </c:pt>
                <c:pt idx="131">
                  <c:v>Sep 18, 2024</c:v>
                </c:pt>
                <c:pt idx="132">
                  <c:v>Sep 17, 2024</c:v>
                </c:pt>
                <c:pt idx="133">
                  <c:v>Sep 16, 2024</c:v>
                </c:pt>
                <c:pt idx="134">
                  <c:v>Sep 13, 2024</c:v>
                </c:pt>
                <c:pt idx="135">
                  <c:v>Sep 12, 2024</c:v>
                </c:pt>
                <c:pt idx="136">
                  <c:v>Sep 11, 2024</c:v>
                </c:pt>
                <c:pt idx="137">
                  <c:v>Sep 10, 2024</c:v>
                </c:pt>
                <c:pt idx="138">
                  <c:v>Sep 9, 2024</c:v>
                </c:pt>
                <c:pt idx="139">
                  <c:v>Sep 6, 2024</c:v>
                </c:pt>
                <c:pt idx="140">
                  <c:v>Sep 5, 2024</c:v>
                </c:pt>
                <c:pt idx="141">
                  <c:v>Sep 4, 2024</c:v>
                </c:pt>
                <c:pt idx="142">
                  <c:v>Sep 3, 2024</c:v>
                </c:pt>
                <c:pt idx="143">
                  <c:v>Aug 30, 2024</c:v>
                </c:pt>
                <c:pt idx="144">
                  <c:v>Aug 29, 2024</c:v>
                </c:pt>
                <c:pt idx="145">
                  <c:v>Aug 28, 2024</c:v>
                </c:pt>
                <c:pt idx="146">
                  <c:v>Aug 27, 2024</c:v>
                </c:pt>
                <c:pt idx="147">
                  <c:v>Aug 26, 2024</c:v>
                </c:pt>
                <c:pt idx="148">
                  <c:v>Aug 23, 2024</c:v>
                </c:pt>
                <c:pt idx="149">
                  <c:v>Aug 22, 2024</c:v>
                </c:pt>
                <c:pt idx="150">
                  <c:v>Aug 21, 2024</c:v>
                </c:pt>
                <c:pt idx="151">
                  <c:v>Aug 20, 2024</c:v>
                </c:pt>
                <c:pt idx="152">
                  <c:v>Aug 19, 2024</c:v>
                </c:pt>
                <c:pt idx="153">
                  <c:v>Aug 16, 2024</c:v>
                </c:pt>
                <c:pt idx="154">
                  <c:v>Aug 15, 2024</c:v>
                </c:pt>
                <c:pt idx="155">
                  <c:v>Aug 14, 2024</c:v>
                </c:pt>
                <c:pt idx="156">
                  <c:v>Aug 13, 2024</c:v>
                </c:pt>
                <c:pt idx="157">
                  <c:v>Aug 12, 2024</c:v>
                </c:pt>
                <c:pt idx="158">
                  <c:v>Aug 9, 2024</c:v>
                </c:pt>
                <c:pt idx="159">
                  <c:v>Aug 8, 2024</c:v>
                </c:pt>
                <c:pt idx="160">
                  <c:v>Aug 7, 2024</c:v>
                </c:pt>
                <c:pt idx="161">
                  <c:v>Aug 6, 2024</c:v>
                </c:pt>
                <c:pt idx="162">
                  <c:v>Aug 5, 2024</c:v>
                </c:pt>
                <c:pt idx="163">
                  <c:v>Aug 2, 2024</c:v>
                </c:pt>
                <c:pt idx="164">
                  <c:v>Aug 1, 2024</c:v>
                </c:pt>
                <c:pt idx="165">
                  <c:v>Jul 31, 2024</c:v>
                </c:pt>
                <c:pt idx="166">
                  <c:v>Jul 30, 2024</c:v>
                </c:pt>
                <c:pt idx="167">
                  <c:v>Jul 29, 2024</c:v>
                </c:pt>
                <c:pt idx="168">
                  <c:v>Jul 26, 2024</c:v>
                </c:pt>
                <c:pt idx="169">
                  <c:v>Jul 25, 2024</c:v>
                </c:pt>
                <c:pt idx="170">
                  <c:v>Jul 24, 2024</c:v>
                </c:pt>
                <c:pt idx="171">
                  <c:v>Jul 23, 2024</c:v>
                </c:pt>
                <c:pt idx="172">
                  <c:v>Jul 22, 2024</c:v>
                </c:pt>
                <c:pt idx="173">
                  <c:v>Jul 19, 2024</c:v>
                </c:pt>
                <c:pt idx="174">
                  <c:v>Jul 18, 2024</c:v>
                </c:pt>
                <c:pt idx="175">
                  <c:v>Jul 17, 2024</c:v>
                </c:pt>
                <c:pt idx="176">
                  <c:v>Jul 16, 2024</c:v>
                </c:pt>
                <c:pt idx="177">
                  <c:v>Jul 15, 2024</c:v>
                </c:pt>
                <c:pt idx="178">
                  <c:v>Jul 12, 2024</c:v>
                </c:pt>
                <c:pt idx="179">
                  <c:v>Jul 11, 2024</c:v>
                </c:pt>
                <c:pt idx="180">
                  <c:v>Jul 10, 2024</c:v>
                </c:pt>
                <c:pt idx="181">
                  <c:v>Jul 9, 2024</c:v>
                </c:pt>
                <c:pt idx="182">
                  <c:v>Jul 8, 2024</c:v>
                </c:pt>
                <c:pt idx="183">
                  <c:v>Jul 5, 2024</c:v>
                </c:pt>
                <c:pt idx="184">
                  <c:v>Jul 3, 2024</c:v>
                </c:pt>
                <c:pt idx="185">
                  <c:v>Jul 2, 2024</c:v>
                </c:pt>
                <c:pt idx="186">
                  <c:v>Jul 1, 2024</c:v>
                </c:pt>
              </c:strCache>
            </c:strRef>
          </c:cat>
          <c:val>
            <c:numRef>
              <c:f>'Bollinger Bands '!$F$2:$F$188</c:f>
              <c:numCache>
                <c:formatCode>General</c:formatCode>
                <c:ptCount val="187"/>
                <c:pt idx="0">
                  <c:v>71.498070887779988</c:v>
                </c:pt>
                <c:pt idx="1">
                  <c:v>71.541207067460718</c:v>
                </c:pt>
                <c:pt idx="2">
                  <c:v>71.487734875485799</c:v>
                </c:pt>
                <c:pt idx="3">
                  <c:v>71.510487809023545</c:v>
                </c:pt>
                <c:pt idx="4">
                  <c:v>71.6107363552766</c:v>
                </c:pt>
                <c:pt idx="5">
                  <c:v>71.594647107007418</c:v>
                </c:pt>
                <c:pt idx="6">
                  <c:v>71.603118909542388</c:v>
                </c:pt>
                <c:pt idx="7">
                  <c:v>71.607271667811773</c:v>
                </c:pt>
                <c:pt idx="8">
                  <c:v>71.59256032200561</c:v>
                </c:pt>
                <c:pt idx="9">
                  <c:v>71.68560047038676</c:v>
                </c:pt>
                <c:pt idx="10">
                  <c:v>71.776245695113332</c:v>
                </c:pt>
                <c:pt idx="11">
                  <c:v>71.786551749208641</c:v>
                </c:pt>
                <c:pt idx="12">
                  <c:v>71.876712287474405</c:v>
                </c:pt>
                <c:pt idx="13">
                  <c:v>72.140463381956963</c:v>
                </c:pt>
                <c:pt idx="14">
                  <c:v>72.945889691174884</c:v>
                </c:pt>
                <c:pt idx="15">
                  <c:v>73.463654798854733</c:v>
                </c:pt>
                <c:pt idx="16">
                  <c:v>73.795556672735458</c:v>
                </c:pt>
                <c:pt idx="17">
                  <c:v>74.075506175444488</c:v>
                </c:pt>
                <c:pt idx="18">
                  <c:v>74.302635548794726</c:v>
                </c:pt>
                <c:pt idx="19">
                  <c:v>74.306771078419274</c:v>
                </c:pt>
                <c:pt idx="20">
                  <c:v>73.881681058555273</c:v>
                </c:pt>
                <c:pt idx="21">
                  <c:v>73.507644943562752</c:v>
                </c:pt>
                <c:pt idx="22">
                  <c:v>73.188083055756124</c:v>
                </c:pt>
                <c:pt idx="23">
                  <c:v>72.815315268109202</c:v>
                </c:pt>
                <c:pt idx="24">
                  <c:v>72.11870684532154</c:v>
                </c:pt>
                <c:pt idx="25">
                  <c:v>71.601956663812814</c:v>
                </c:pt>
                <c:pt idx="26">
                  <c:v>70.799657571278388</c:v>
                </c:pt>
                <c:pt idx="27">
                  <c:v>70.134406026137015</c:v>
                </c:pt>
                <c:pt idx="28">
                  <c:v>69.293685906866756</c:v>
                </c:pt>
                <c:pt idx="29">
                  <c:v>68.570069931697745</c:v>
                </c:pt>
                <c:pt idx="30">
                  <c:v>67.770874132819614</c:v>
                </c:pt>
                <c:pt idx="31">
                  <c:v>66.580269922237392</c:v>
                </c:pt>
                <c:pt idx="32">
                  <c:v>65.316526741518416</c:v>
                </c:pt>
                <c:pt idx="33">
                  <c:v>64.085598430222859</c:v>
                </c:pt>
                <c:pt idx="34">
                  <c:v>63.863071133874442</c:v>
                </c:pt>
                <c:pt idx="35">
                  <c:v>63.698979626744162</c:v>
                </c:pt>
                <c:pt idx="36">
                  <c:v>63.675953461360429</c:v>
                </c:pt>
                <c:pt idx="37">
                  <c:v>63.653733914807418</c:v>
                </c:pt>
                <c:pt idx="38">
                  <c:v>63.610427569939127</c:v>
                </c:pt>
                <c:pt idx="39">
                  <c:v>63.461864944792794</c:v>
                </c:pt>
                <c:pt idx="40">
                  <c:v>63.289779386100172</c:v>
                </c:pt>
                <c:pt idx="41">
                  <c:v>62.91178469982767</c:v>
                </c:pt>
                <c:pt idx="42">
                  <c:v>62.853693983700268</c:v>
                </c:pt>
                <c:pt idx="43">
                  <c:v>62.880438595116104</c:v>
                </c:pt>
                <c:pt idx="44">
                  <c:v>62.587939078294596</c:v>
                </c:pt>
                <c:pt idx="45">
                  <c:v>62.629177503240399</c:v>
                </c:pt>
                <c:pt idx="46">
                  <c:v>62.694169795183313</c:v>
                </c:pt>
                <c:pt idx="47">
                  <c:v>62.740478428015535</c:v>
                </c:pt>
                <c:pt idx="48">
                  <c:v>62.807274571481521</c:v>
                </c:pt>
                <c:pt idx="49">
                  <c:v>62.954531878416553</c:v>
                </c:pt>
                <c:pt idx="50">
                  <c:v>62.984222202289033</c:v>
                </c:pt>
                <c:pt idx="51">
                  <c:v>63.116771246223564</c:v>
                </c:pt>
                <c:pt idx="52">
                  <c:v>63.388223948721581</c:v>
                </c:pt>
                <c:pt idx="53">
                  <c:v>63.420859386175714</c:v>
                </c:pt>
                <c:pt idx="54">
                  <c:v>63.424276254938277</c:v>
                </c:pt>
                <c:pt idx="55">
                  <c:v>63.436402251724552</c:v>
                </c:pt>
                <c:pt idx="56">
                  <c:v>63.315136813679146</c:v>
                </c:pt>
                <c:pt idx="57">
                  <c:v>63.141837000894114</c:v>
                </c:pt>
                <c:pt idx="58">
                  <c:v>63.098990970593611</c:v>
                </c:pt>
                <c:pt idx="59">
                  <c:v>63.178533734592442</c:v>
                </c:pt>
                <c:pt idx="60">
                  <c:v>63.304911829221091</c:v>
                </c:pt>
                <c:pt idx="61">
                  <c:v>63.493153680990112</c:v>
                </c:pt>
                <c:pt idx="62">
                  <c:v>63.641601332263797</c:v>
                </c:pt>
                <c:pt idx="63">
                  <c:v>63.795109258512277</c:v>
                </c:pt>
                <c:pt idx="64">
                  <c:v>63.899526393988985</c:v>
                </c:pt>
                <c:pt idx="65">
                  <c:v>63.912150455417695</c:v>
                </c:pt>
                <c:pt idx="66">
                  <c:v>63.915672284242632</c:v>
                </c:pt>
                <c:pt idx="67">
                  <c:v>63.910335201485566</c:v>
                </c:pt>
                <c:pt idx="68">
                  <c:v>63.960955597835984</c:v>
                </c:pt>
                <c:pt idx="69">
                  <c:v>64.078293000868769</c:v>
                </c:pt>
                <c:pt idx="70">
                  <c:v>64.201821747170982</c:v>
                </c:pt>
                <c:pt idx="71">
                  <c:v>64.197607212960705</c:v>
                </c:pt>
                <c:pt idx="72">
                  <c:v>64.08903623696888</c:v>
                </c:pt>
                <c:pt idx="73">
                  <c:v>64.091019251883537</c:v>
                </c:pt>
                <c:pt idx="74">
                  <c:v>64.089467219254885</c:v>
                </c:pt>
                <c:pt idx="75">
                  <c:v>64.142834379267128</c:v>
                </c:pt>
                <c:pt idx="76">
                  <c:v>64.168543010200167</c:v>
                </c:pt>
                <c:pt idx="77">
                  <c:v>64.187612661671793</c:v>
                </c:pt>
                <c:pt idx="78">
                  <c:v>64.478605564621873</c:v>
                </c:pt>
                <c:pt idx="79">
                  <c:v>64.647407244924182</c:v>
                </c:pt>
                <c:pt idx="80">
                  <c:v>64.773330280020559</c:v>
                </c:pt>
                <c:pt idx="81">
                  <c:v>64.899789624403155</c:v>
                </c:pt>
                <c:pt idx="82">
                  <c:v>65.166185612051351</c:v>
                </c:pt>
                <c:pt idx="83">
                  <c:v>65.324106997812194</c:v>
                </c:pt>
                <c:pt idx="84">
                  <c:v>65.731120973949857</c:v>
                </c:pt>
                <c:pt idx="85">
                  <c:v>66.175504407782412</c:v>
                </c:pt>
                <c:pt idx="86">
                  <c:v>66.653145728860537</c:v>
                </c:pt>
                <c:pt idx="87">
                  <c:v>67.220616578743275</c:v>
                </c:pt>
                <c:pt idx="88">
                  <c:v>68.032101814449163</c:v>
                </c:pt>
                <c:pt idx="89">
                  <c:v>68.620128807987271</c:v>
                </c:pt>
                <c:pt idx="90">
                  <c:v>69.294847091945655</c:v>
                </c:pt>
                <c:pt idx="91">
                  <c:v>69.770027437591324</c:v>
                </c:pt>
                <c:pt idx="92">
                  <c:v>70.317107413210081</c:v>
                </c:pt>
                <c:pt idx="93">
                  <c:v>70.713584119652879</c:v>
                </c:pt>
                <c:pt idx="94">
                  <c:v>71.021566837754193</c:v>
                </c:pt>
                <c:pt idx="95">
                  <c:v>71.168761496390132</c:v>
                </c:pt>
                <c:pt idx="96">
                  <c:v>71.168115369395139</c:v>
                </c:pt>
                <c:pt idx="97">
                  <c:v>71.116184581692096</c:v>
                </c:pt>
                <c:pt idx="98">
                  <c:v>71.145390250808177</c:v>
                </c:pt>
                <c:pt idx="99">
                  <c:v>71.08209903531484</c:v>
                </c:pt>
                <c:pt idx="100">
                  <c:v>71.062341457508424</c:v>
                </c:pt>
                <c:pt idx="101">
                  <c:v>71.040295751810064</c:v>
                </c:pt>
                <c:pt idx="102">
                  <c:v>71.09655964140434</c:v>
                </c:pt>
                <c:pt idx="103">
                  <c:v>71.094905160801559</c:v>
                </c:pt>
                <c:pt idx="104">
                  <c:v>71.213494100905152</c:v>
                </c:pt>
                <c:pt idx="105">
                  <c:v>71.249417636485944</c:v>
                </c:pt>
                <c:pt idx="106">
                  <c:v>71.169957298764317</c:v>
                </c:pt>
                <c:pt idx="107">
                  <c:v>71.144026459009012</c:v>
                </c:pt>
                <c:pt idx="108">
                  <c:v>71.234349665067171</c:v>
                </c:pt>
                <c:pt idx="109">
                  <c:v>71.369261649868747</c:v>
                </c:pt>
                <c:pt idx="110">
                  <c:v>71.487114884084477</c:v>
                </c:pt>
                <c:pt idx="111">
                  <c:v>71.493374177576882</c:v>
                </c:pt>
                <c:pt idx="112">
                  <c:v>71.611676989473963</c:v>
                </c:pt>
                <c:pt idx="113">
                  <c:v>71.732609577942767</c:v>
                </c:pt>
                <c:pt idx="114">
                  <c:v>71.887991930531456</c:v>
                </c:pt>
                <c:pt idx="115">
                  <c:v>71.898505668467337</c:v>
                </c:pt>
                <c:pt idx="116">
                  <c:v>71.811560180315681</c:v>
                </c:pt>
                <c:pt idx="117">
                  <c:v>71.745333712039383</c:v>
                </c:pt>
                <c:pt idx="118">
                  <c:v>71.591785119960804</c:v>
                </c:pt>
                <c:pt idx="119">
                  <c:v>71.303769655725944</c:v>
                </c:pt>
                <c:pt idx="120">
                  <c:v>71.239034362156517</c:v>
                </c:pt>
                <c:pt idx="121">
                  <c:v>71.22182665706012</c:v>
                </c:pt>
                <c:pt idx="122">
                  <c:v>71.313625912649641</c:v>
                </c:pt>
                <c:pt idx="123">
                  <c:v>71.464338725724573</c:v>
                </c:pt>
                <c:pt idx="124">
                  <c:v>71.479990846643986</c:v>
                </c:pt>
                <c:pt idx="125">
                  <c:v>71.457703404774492</c:v>
                </c:pt>
                <c:pt idx="126">
                  <c:v>71.453360551070801</c:v>
                </c:pt>
                <c:pt idx="127">
                  <c:v>71.446004868232492</c:v>
                </c:pt>
                <c:pt idx="128">
                  <c:v>71.488208510906915</c:v>
                </c:pt>
                <c:pt idx="129">
                  <c:v>71.649587424712863</c:v>
                </c:pt>
                <c:pt idx="130">
                  <c:v>71.826791632562873</c:v>
                </c:pt>
                <c:pt idx="131">
                  <c:v>71.948002380321228</c:v>
                </c:pt>
                <c:pt idx="132">
                  <c:v>71.977888886030925</c:v>
                </c:pt>
                <c:pt idx="133">
                  <c:v>72.00266527113196</c:v>
                </c:pt>
                <c:pt idx="134">
                  <c:v>71.898497873001759</c:v>
                </c:pt>
                <c:pt idx="135">
                  <c:v>71.913665287104649</c:v>
                </c:pt>
                <c:pt idx="136">
                  <c:v>71.95974837210197</c:v>
                </c:pt>
                <c:pt idx="137">
                  <c:v>71.996101780068756</c:v>
                </c:pt>
                <c:pt idx="138">
                  <c:v>71.978170529464734</c:v>
                </c:pt>
                <c:pt idx="139">
                  <c:v>71.840018271012212</c:v>
                </c:pt>
                <c:pt idx="140">
                  <c:v>71.764047250358004</c:v>
                </c:pt>
                <c:pt idx="141">
                  <c:v>71.676277406204619</c:v>
                </c:pt>
                <c:pt idx="142">
                  <c:v>71.335424917876892</c:v>
                </c:pt>
                <c:pt idx="143">
                  <c:v>70.789273333529522</c:v>
                </c:pt>
                <c:pt idx="144">
                  <c:v>70.281122007709129</c:v>
                </c:pt>
                <c:pt idx="145">
                  <c:v>69.815744890934653</c:v>
                </c:pt>
                <c:pt idx="146">
                  <c:v>69.475742725539334</c:v>
                </c:pt>
                <c:pt idx="147">
                  <c:v>68.977916743566908</c:v>
                </c:pt>
                <c:pt idx="148">
                  <c:v>68.683427852649416</c:v>
                </c:pt>
                <c:pt idx="149">
                  <c:v>68.563774229651656</c:v>
                </c:pt>
                <c:pt idx="150">
                  <c:v>68.633897789438592</c:v>
                </c:pt>
                <c:pt idx="151">
                  <c:v>68.625308144452219</c:v>
                </c:pt>
                <c:pt idx="152">
                  <c:v>68.718743425235203</c:v>
                </c:pt>
                <c:pt idx="153">
                  <c:v>68.798111414782994</c:v>
                </c:pt>
                <c:pt idx="154">
                  <c:v>68.68974023582129</c:v>
                </c:pt>
                <c:pt idx="155">
                  <c:v>68.624407823368117</c:v>
                </c:pt>
                <c:pt idx="156">
                  <c:v>68.521920812311294</c:v>
                </c:pt>
                <c:pt idx="157">
                  <c:v>68.488777348449602</c:v>
                </c:pt>
                <c:pt idx="158">
                  <c:v>68.5430682347464</c:v>
                </c:pt>
                <c:pt idx="159">
                  <c:v>68.393318079644999</c:v>
                </c:pt>
                <c:pt idx="160">
                  <c:v>68.224334504957554</c:v>
                </c:pt>
                <c:pt idx="161">
                  <c:v>68.047313907602515</c:v>
                </c:pt>
                <c:pt idx="162">
                  <c:v>67.87652808169068</c:v>
                </c:pt>
                <c:pt idx="163">
                  <c:v>67.593508132670934</c:v>
                </c:pt>
                <c:pt idx="164">
                  <c:v>66.871753773180487</c:v>
                </c:pt>
                <c:pt idx="165">
                  <c:v>66.423187872089542</c:v>
                </c:pt>
                <c:pt idx="166">
                  <c:v>66.187846702593532</c:v>
                </c:pt>
                <c:pt idx="167">
                  <c:v>65.663455311177728</c:v>
                </c:pt>
                <c:pt idx="168">
                  <c:v>65.354376704843219</c:v>
                </c:pt>
                <c:pt idx="169">
                  <c:v>64.879409884397916</c:v>
                </c:pt>
                <c:pt idx="170">
                  <c:v>64.598758926747649</c:v>
                </c:pt>
                <c:pt idx="171">
                  <c:v>64.320733488552307</c:v>
                </c:pt>
                <c:pt idx="172">
                  <c:v>64.220228740818001</c:v>
                </c:pt>
                <c:pt idx="173">
                  <c:v>64.137314474996316</c:v>
                </c:pt>
                <c:pt idx="174">
                  <c:v>63.848463744666823</c:v>
                </c:pt>
                <c:pt idx="175">
                  <c:v>63.48028198823188</c:v>
                </c:pt>
                <c:pt idx="176">
                  <c:v>62.852309656890661</c:v>
                </c:pt>
                <c:pt idx="177">
                  <c:v>62.545182097085217</c:v>
                </c:pt>
                <c:pt idx="178">
                  <c:v>62.55205727253577</c:v>
                </c:pt>
                <c:pt idx="179">
                  <c:v>62.431152823843988</c:v>
                </c:pt>
                <c:pt idx="180">
                  <c:v>62.488172554259556</c:v>
                </c:pt>
                <c:pt idx="181">
                  <c:v>62.547234514705593</c:v>
                </c:pt>
                <c:pt idx="182">
                  <c:v>62.514895500068882</c:v>
                </c:pt>
                <c:pt idx="183">
                  <c:v>62.536826486903948</c:v>
                </c:pt>
                <c:pt idx="184">
                  <c:v>62.079164798196892</c:v>
                </c:pt>
                <c:pt idx="185">
                  <c:v>62.038847763108507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65-4AEB-9D64-15F30DA97FD6}"/>
            </c:ext>
          </c:extLst>
        </c:ser>
        <c:ser>
          <c:idx val="2"/>
          <c:order val="2"/>
          <c:tx>
            <c:strRef>
              <c:f>'Bollinger Bands '!$G$1</c:f>
              <c:strCache>
                <c:ptCount val="1"/>
                <c:pt idx="0">
                  <c:v>Lower Band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'Bollinger Bands '!$A$2:$A$188</c:f>
              <c:strCache>
                <c:ptCount val="187"/>
                <c:pt idx="0">
                  <c:v>Mar 28, 2025</c:v>
                </c:pt>
                <c:pt idx="1">
                  <c:v>Mar 27, 2025</c:v>
                </c:pt>
                <c:pt idx="2">
                  <c:v>Mar 26, 2025</c:v>
                </c:pt>
                <c:pt idx="3">
                  <c:v>Mar 25, 2025</c:v>
                </c:pt>
                <c:pt idx="4">
                  <c:v>Mar 24, 2025</c:v>
                </c:pt>
                <c:pt idx="5">
                  <c:v>Mar 21, 2025</c:v>
                </c:pt>
                <c:pt idx="6">
                  <c:v>Mar 20, 2025</c:v>
                </c:pt>
                <c:pt idx="7">
                  <c:v>Mar 19, 2025</c:v>
                </c:pt>
                <c:pt idx="8">
                  <c:v>Mar 18, 2025</c:v>
                </c:pt>
                <c:pt idx="9">
                  <c:v>Mar 17, 2025</c:v>
                </c:pt>
                <c:pt idx="10">
                  <c:v>Mar 14, 2025</c:v>
                </c:pt>
                <c:pt idx="11">
                  <c:v>Mar 13, 2025</c:v>
                </c:pt>
                <c:pt idx="12">
                  <c:v>Mar 12, 2025</c:v>
                </c:pt>
                <c:pt idx="13">
                  <c:v>Mar 11, 2025</c:v>
                </c:pt>
                <c:pt idx="14">
                  <c:v>Mar 10, 2025</c:v>
                </c:pt>
                <c:pt idx="15">
                  <c:v>Mar 7, 2025</c:v>
                </c:pt>
                <c:pt idx="16">
                  <c:v>Mar 6, 2025</c:v>
                </c:pt>
                <c:pt idx="17">
                  <c:v>Mar 5, 2025</c:v>
                </c:pt>
                <c:pt idx="18">
                  <c:v>Mar 4, 2025</c:v>
                </c:pt>
                <c:pt idx="19">
                  <c:v>Mar 3, 2025</c:v>
                </c:pt>
                <c:pt idx="20">
                  <c:v>Feb 28, 2025</c:v>
                </c:pt>
                <c:pt idx="21">
                  <c:v>Feb 27, 2025</c:v>
                </c:pt>
                <c:pt idx="22">
                  <c:v>Feb 26, 2025</c:v>
                </c:pt>
                <c:pt idx="23">
                  <c:v>Feb 25, 2025</c:v>
                </c:pt>
                <c:pt idx="24">
                  <c:v>Feb 24, 2025</c:v>
                </c:pt>
                <c:pt idx="25">
                  <c:v>Feb 21, 2025</c:v>
                </c:pt>
                <c:pt idx="26">
                  <c:v>Feb 20, 2025</c:v>
                </c:pt>
                <c:pt idx="27">
                  <c:v>Feb 19, 2025</c:v>
                </c:pt>
                <c:pt idx="28">
                  <c:v>Feb 18, 2025</c:v>
                </c:pt>
                <c:pt idx="29">
                  <c:v>Feb 14, 2025</c:v>
                </c:pt>
                <c:pt idx="30">
                  <c:v>Feb 13, 2025</c:v>
                </c:pt>
                <c:pt idx="31">
                  <c:v>Feb 12, 2025</c:v>
                </c:pt>
                <c:pt idx="32">
                  <c:v>Feb 11, 2025</c:v>
                </c:pt>
                <c:pt idx="33">
                  <c:v>Feb 10, 2025</c:v>
                </c:pt>
                <c:pt idx="34">
                  <c:v>Feb 7, 2025</c:v>
                </c:pt>
                <c:pt idx="35">
                  <c:v>Feb 6, 2025</c:v>
                </c:pt>
                <c:pt idx="36">
                  <c:v>Feb 5, 2025</c:v>
                </c:pt>
                <c:pt idx="37">
                  <c:v>Feb 4, 2025</c:v>
                </c:pt>
                <c:pt idx="38">
                  <c:v>Feb 3, 2025</c:v>
                </c:pt>
                <c:pt idx="39">
                  <c:v>Jan 31, 2025</c:v>
                </c:pt>
                <c:pt idx="40">
                  <c:v>Jan 30, 2025</c:v>
                </c:pt>
                <c:pt idx="41">
                  <c:v>Jan 29, 2025</c:v>
                </c:pt>
                <c:pt idx="42">
                  <c:v>Jan 28, 2025</c:v>
                </c:pt>
                <c:pt idx="43">
                  <c:v>Jan 27, 2025</c:v>
                </c:pt>
                <c:pt idx="44">
                  <c:v>Jan 24, 2025</c:v>
                </c:pt>
                <c:pt idx="45">
                  <c:v>Jan 23, 2025</c:v>
                </c:pt>
                <c:pt idx="46">
                  <c:v>Jan 22, 2025</c:v>
                </c:pt>
                <c:pt idx="47">
                  <c:v>Jan 21, 2025</c:v>
                </c:pt>
                <c:pt idx="48">
                  <c:v>Jan 17, 2025</c:v>
                </c:pt>
                <c:pt idx="49">
                  <c:v>Jan 16, 2025</c:v>
                </c:pt>
                <c:pt idx="50">
                  <c:v>Jan 15, 2025</c:v>
                </c:pt>
                <c:pt idx="51">
                  <c:v>Jan 14, 2025</c:v>
                </c:pt>
                <c:pt idx="52">
                  <c:v>Jan 13, 2025</c:v>
                </c:pt>
                <c:pt idx="53">
                  <c:v>Jan 10, 2025</c:v>
                </c:pt>
                <c:pt idx="54">
                  <c:v>Jan 8, 2025</c:v>
                </c:pt>
                <c:pt idx="55">
                  <c:v>Jan 7, 2025</c:v>
                </c:pt>
                <c:pt idx="56">
                  <c:v>Jan 6, 2025</c:v>
                </c:pt>
                <c:pt idx="57">
                  <c:v>Jan 3, 2025</c:v>
                </c:pt>
                <c:pt idx="58">
                  <c:v>Jan 2, 2025</c:v>
                </c:pt>
                <c:pt idx="59">
                  <c:v>Dec 31, 2024</c:v>
                </c:pt>
                <c:pt idx="60">
                  <c:v>Dec 30, 2024</c:v>
                </c:pt>
                <c:pt idx="61">
                  <c:v>Dec 27, 2024</c:v>
                </c:pt>
                <c:pt idx="62">
                  <c:v>Dec 26, 2024</c:v>
                </c:pt>
                <c:pt idx="63">
                  <c:v>Dec 24, 2024</c:v>
                </c:pt>
                <c:pt idx="64">
                  <c:v>Dec 23, 2024</c:v>
                </c:pt>
                <c:pt idx="65">
                  <c:v>Dec 20, 2024</c:v>
                </c:pt>
                <c:pt idx="66">
                  <c:v>Dec 19, 2024</c:v>
                </c:pt>
                <c:pt idx="67">
                  <c:v>Dec 18, 2024</c:v>
                </c:pt>
                <c:pt idx="68">
                  <c:v>Dec 17, 2024</c:v>
                </c:pt>
                <c:pt idx="69">
                  <c:v>Dec 16, 2024</c:v>
                </c:pt>
                <c:pt idx="70">
                  <c:v>Dec 13, 2024</c:v>
                </c:pt>
                <c:pt idx="71">
                  <c:v>Dec 12, 2024</c:v>
                </c:pt>
                <c:pt idx="72">
                  <c:v>Dec 11, 2024</c:v>
                </c:pt>
                <c:pt idx="73">
                  <c:v>Dec 10, 2024</c:v>
                </c:pt>
                <c:pt idx="74">
                  <c:v>Dec 9, 2024</c:v>
                </c:pt>
                <c:pt idx="75">
                  <c:v>Dec 6, 2024</c:v>
                </c:pt>
                <c:pt idx="76">
                  <c:v>Dec 5, 2024</c:v>
                </c:pt>
                <c:pt idx="77">
                  <c:v>Dec 4, 2024</c:v>
                </c:pt>
                <c:pt idx="78">
                  <c:v>Dec 3, 2024</c:v>
                </c:pt>
                <c:pt idx="79">
                  <c:v>Dec 2, 2024</c:v>
                </c:pt>
                <c:pt idx="80">
                  <c:v>Nov 29, 2024</c:v>
                </c:pt>
                <c:pt idx="81">
                  <c:v>Nov 27, 2024</c:v>
                </c:pt>
                <c:pt idx="82">
                  <c:v>Nov 26, 2024</c:v>
                </c:pt>
                <c:pt idx="83">
                  <c:v>Nov 25, 2024</c:v>
                </c:pt>
                <c:pt idx="84">
                  <c:v>Nov 22, 2024</c:v>
                </c:pt>
                <c:pt idx="85">
                  <c:v>Nov 21, 2024</c:v>
                </c:pt>
                <c:pt idx="86">
                  <c:v>Nov 20, 2024</c:v>
                </c:pt>
                <c:pt idx="87">
                  <c:v>Nov 19, 2024</c:v>
                </c:pt>
                <c:pt idx="88">
                  <c:v>Nov 18, 2024</c:v>
                </c:pt>
                <c:pt idx="89">
                  <c:v>Nov 15, 2024</c:v>
                </c:pt>
                <c:pt idx="90">
                  <c:v>Nov 14, 2024</c:v>
                </c:pt>
                <c:pt idx="91">
                  <c:v>Nov 13, 2024</c:v>
                </c:pt>
                <c:pt idx="92">
                  <c:v>Nov 12, 2024</c:v>
                </c:pt>
                <c:pt idx="93">
                  <c:v>Nov 11, 2024</c:v>
                </c:pt>
                <c:pt idx="94">
                  <c:v>Nov 8, 2024</c:v>
                </c:pt>
                <c:pt idx="95">
                  <c:v>Nov 7, 2024</c:v>
                </c:pt>
                <c:pt idx="96">
                  <c:v>Nov 6, 2024</c:v>
                </c:pt>
                <c:pt idx="97">
                  <c:v>Nov 5, 2024</c:v>
                </c:pt>
                <c:pt idx="98">
                  <c:v>Nov 4, 2024</c:v>
                </c:pt>
                <c:pt idx="99">
                  <c:v>Nov 1, 2024</c:v>
                </c:pt>
                <c:pt idx="100">
                  <c:v>Oct 31, 2024</c:v>
                </c:pt>
                <c:pt idx="101">
                  <c:v>Oct 30, 2024</c:v>
                </c:pt>
                <c:pt idx="102">
                  <c:v>Oct 29, 2024</c:v>
                </c:pt>
                <c:pt idx="103">
                  <c:v>Oct 28, 2024</c:v>
                </c:pt>
                <c:pt idx="104">
                  <c:v>Oct 25, 2024</c:v>
                </c:pt>
                <c:pt idx="105">
                  <c:v>Oct 24, 2024</c:v>
                </c:pt>
                <c:pt idx="106">
                  <c:v>Oct 23, 2024</c:v>
                </c:pt>
                <c:pt idx="107">
                  <c:v>Oct 22, 2024</c:v>
                </c:pt>
                <c:pt idx="108">
                  <c:v>Oct 21, 2024</c:v>
                </c:pt>
                <c:pt idx="109">
                  <c:v>Oct 18, 2024</c:v>
                </c:pt>
                <c:pt idx="110">
                  <c:v>Oct 17, 2024</c:v>
                </c:pt>
                <c:pt idx="111">
                  <c:v>Oct 16, 2024</c:v>
                </c:pt>
                <c:pt idx="112">
                  <c:v>Oct 15, 2024</c:v>
                </c:pt>
                <c:pt idx="113">
                  <c:v>Oct 14, 2024</c:v>
                </c:pt>
                <c:pt idx="114">
                  <c:v>Oct 11, 2024</c:v>
                </c:pt>
                <c:pt idx="115">
                  <c:v>Oct 10, 2024</c:v>
                </c:pt>
                <c:pt idx="116">
                  <c:v>Oct 9, 2024</c:v>
                </c:pt>
                <c:pt idx="117">
                  <c:v>Oct 8, 2024</c:v>
                </c:pt>
                <c:pt idx="118">
                  <c:v>Oct 7, 2024</c:v>
                </c:pt>
                <c:pt idx="119">
                  <c:v>Oct 4, 2024</c:v>
                </c:pt>
                <c:pt idx="120">
                  <c:v>Oct 3, 2024</c:v>
                </c:pt>
                <c:pt idx="121">
                  <c:v>Oct 2, 2024</c:v>
                </c:pt>
                <c:pt idx="122">
                  <c:v>Oct 1, 2024</c:v>
                </c:pt>
                <c:pt idx="123">
                  <c:v>Sep 30, 2024</c:v>
                </c:pt>
                <c:pt idx="124">
                  <c:v>Sep 27, 2024</c:v>
                </c:pt>
                <c:pt idx="125">
                  <c:v>Sep 26, 2024</c:v>
                </c:pt>
                <c:pt idx="126">
                  <c:v>Sep 25, 2024</c:v>
                </c:pt>
                <c:pt idx="127">
                  <c:v>Sep 24, 2024</c:v>
                </c:pt>
                <c:pt idx="128">
                  <c:v>Sep 23, 2024</c:v>
                </c:pt>
                <c:pt idx="129">
                  <c:v>Sep 20, 2024</c:v>
                </c:pt>
                <c:pt idx="130">
                  <c:v>Sep 19, 2024</c:v>
                </c:pt>
                <c:pt idx="131">
                  <c:v>Sep 18, 2024</c:v>
                </c:pt>
                <c:pt idx="132">
                  <c:v>Sep 17, 2024</c:v>
                </c:pt>
                <c:pt idx="133">
                  <c:v>Sep 16, 2024</c:v>
                </c:pt>
                <c:pt idx="134">
                  <c:v>Sep 13, 2024</c:v>
                </c:pt>
                <c:pt idx="135">
                  <c:v>Sep 12, 2024</c:v>
                </c:pt>
                <c:pt idx="136">
                  <c:v>Sep 11, 2024</c:v>
                </c:pt>
                <c:pt idx="137">
                  <c:v>Sep 10, 2024</c:v>
                </c:pt>
                <c:pt idx="138">
                  <c:v>Sep 9, 2024</c:v>
                </c:pt>
                <c:pt idx="139">
                  <c:v>Sep 6, 2024</c:v>
                </c:pt>
                <c:pt idx="140">
                  <c:v>Sep 5, 2024</c:v>
                </c:pt>
                <c:pt idx="141">
                  <c:v>Sep 4, 2024</c:v>
                </c:pt>
                <c:pt idx="142">
                  <c:v>Sep 3, 2024</c:v>
                </c:pt>
                <c:pt idx="143">
                  <c:v>Aug 30, 2024</c:v>
                </c:pt>
                <c:pt idx="144">
                  <c:v>Aug 29, 2024</c:v>
                </c:pt>
                <c:pt idx="145">
                  <c:v>Aug 28, 2024</c:v>
                </c:pt>
                <c:pt idx="146">
                  <c:v>Aug 27, 2024</c:v>
                </c:pt>
                <c:pt idx="147">
                  <c:v>Aug 26, 2024</c:v>
                </c:pt>
                <c:pt idx="148">
                  <c:v>Aug 23, 2024</c:v>
                </c:pt>
                <c:pt idx="149">
                  <c:v>Aug 22, 2024</c:v>
                </c:pt>
                <c:pt idx="150">
                  <c:v>Aug 21, 2024</c:v>
                </c:pt>
                <c:pt idx="151">
                  <c:v>Aug 20, 2024</c:v>
                </c:pt>
                <c:pt idx="152">
                  <c:v>Aug 19, 2024</c:v>
                </c:pt>
                <c:pt idx="153">
                  <c:v>Aug 16, 2024</c:v>
                </c:pt>
                <c:pt idx="154">
                  <c:v>Aug 15, 2024</c:v>
                </c:pt>
                <c:pt idx="155">
                  <c:v>Aug 14, 2024</c:v>
                </c:pt>
                <c:pt idx="156">
                  <c:v>Aug 13, 2024</c:v>
                </c:pt>
                <c:pt idx="157">
                  <c:v>Aug 12, 2024</c:v>
                </c:pt>
                <c:pt idx="158">
                  <c:v>Aug 9, 2024</c:v>
                </c:pt>
                <c:pt idx="159">
                  <c:v>Aug 8, 2024</c:v>
                </c:pt>
                <c:pt idx="160">
                  <c:v>Aug 7, 2024</c:v>
                </c:pt>
                <c:pt idx="161">
                  <c:v>Aug 6, 2024</c:v>
                </c:pt>
                <c:pt idx="162">
                  <c:v>Aug 5, 2024</c:v>
                </c:pt>
                <c:pt idx="163">
                  <c:v>Aug 2, 2024</c:v>
                </c:pt>
                <c:pt idx="164">
                  <c:v>Aug 1, 2024</c:v>
                </c:pt>
                <c:pt idx="165">
                  <c:v>Jul 31, 2024</c:v>
                </c:pt>
                <c:pt idx="166">
                  <c:v>Jul 30, 2024</c:v>
                </c:pt>
                <c:pt idx="167">
                  <c:v>Jul 29, 2024</c:v>
                </c:pt>
                <c:pt idx="168">
                  <c:v>Jul 26, 2024</c:v>
                </c:pt>
                <c:pt idx="169">
                  <c:v>Jul 25, 2024</c:v>
                </c:pt>
                <c:pt idx="170">
                  <c:v>Jul 24, 2024</c:v>
                </c:pt>
                <c:pt idx="171">
                  <c:v>Jul 23, 2024</c:v>
                </c:pt>
                <c:pt idx="172">
                  <c:v>Jul 22, 2024</c:v>
                </c:pt>
                <c:pt idx="173">
                  <c:v>Jul 19, 2024</c:v>
                </c:pt>
                <c:pt idx="174">
                  <c:v>Jul 18, 2024</c:v>
                </c:pt>
                <c:pt idx="175">
                  <c:v>Jul 17, 2024</c:v>
                </c:pt>
                <c:pt idx="176">
                  <c:v>Jul 16, 2024</c:v>
                </c:pt>
                <c:pt idx="177">
                  <c:v>Jul 15, 2024</c:v>
                </c:pt>
                <c:pt idx="178">
                  <c:v>Jul 12, 2024</c:v>
                </c:pt>
                <c:pt idx="179">
                  <c:v>Jul 11, 2024</c:v>
                </c:pt>
                <c:pt idx="180">
                  <c:v>Jul 10, 2024</c:v>
                </c:pt>
                <c:pt idx="181">
                  <c:v>Jul 9, 2024</c:v>
                </c:pt>
                <c:pt idx="182">
                  <c:v>Jul 8, 2024</c:v>
                </c:pt>
                <c:pt idx="183">
                  <c:v>Jul 5, 2024</c:v>
                </c:pt>
                <c:pt idx="184">
                  <c:v>Jul 3, 2024</c:v>
                </c:pt>
                <c:pt idx="185">
                  <c:v>Jul 2, 2024</c:v>
                </c:pt>
                <c:pt idx="186">
                  <c:v>Jul 1, 2024</c:v>
                </c:pt>
              </c:strCache>
            </c:strRef>
          </c:cat>
          <c:val>
            <c:numRef>
              <c:f>'Bollinger Bands '!$G$2:$G$188</c:f>
              <c:numCache>
                <c:formatCode>General</c:formatCode>
                <c:ptCount val="187"/>
                <c:pt idx="0">
                  <c:v>68.210929112220015</c:v>
                </c:pt>
                <c:pt idx="1">
                  <c:v>68.199792932539296</c:v>
                </c:pt>
                <c:pt idx="2">
                  <c:v>68.214265124514171</c:v>
                </c:pt>
                <c:pt idx="3">
                  <c:v>68.217512190976436</c:v>
                </c:pt>
                <c:pt idx="4">
                  <c:v>68.333263644723388</c:v>
                </c:pt>
                <c:pt idx="5">
                  <c:v>68.461352892992565</c:v>
                </c:pt>
                <c:pt idx="6">
                  <c:v>68.668881090457603</c:v>
                </c:pt>
                <c:pt idx="7">
                  <c:v>68.646728332188189</c:v>
                </c:pt>
                <c:pt idx="8">
                  <c:v>68.689439677994372</c:v>
                </c:pt>
                <c:pt idx="9">
                  <c:v>68.512399529613191</c:v>
                </c:pt>
                <c:pt idx="10">
                  <c:v>68.246754304886664</c:v>
                </c:pt>
                <c:pt idx="11">
                  <c:v>68.219448250791331</c:v>
                </c:pt>
                <c:pt idx="12">
                  <c:v>68.039287712525592</c:v>
                </c:pt>
                <c:pt idx="13">
                  <c:v>67.542536618043059</c:v>
                </c:pt>
                <c:pt idx="14">
                  <c:v>66.093110308825132</c:v>
                </c:pt>
                <c:pt idx="15">
                  <c:v>64.819345201145225</c:v>
                </c:pt>
                <c:pt idx="16">
                  <c:v>63.686443327264506</c:v>
                </c:pt>
                <c:pt idx="17">
                  <c:v>62.67849382455551</c:v>
                </c:pt>
                <c:pt idx="18">
                  <c:v>61.715364451205275</c:v>
                </c:pt>
                <c:pt idx="19">
                  <c:v>61.032228921580717</c:v>
                </c:pt>
                <c:pt idx="20">
                  <c:v>60.579318941444768</c:v>
                </c:pt>
                <c:pt idx="21">
                  <c:v>60.242355056437269</c:v>
                </c:pt>
                <c:pt idx="22">
                  <c:v>59.763916944243881</c:v>
                </c:pt>
                <c:pt idx="23">
                  <c:v>59.298684731890802</c:v>
                </c:pt>
                <c:pt idx="24">
                  <c:v>59.23829315467848</c:v>
                </c:pt>
                <c:pt idx="25">
                  <c:v>58.8950433361872</c:v>
                </c:pt>
                <c:pt idx="26">
                  <c:v>58.722342428721596</c:v>
                </c:pt>
                <c:pt idx="27">
                  <c:v>58.567593973862984</c:v>
                </c:pt>
                <c:pt idx="28">
                  <c:v>58.648314093133251</c:v>
                </c:pt>
                <c:pt idx="29">
                  <c:v>58.74293006830225</c:v>
                </c:pt>
                <c:pt idx="30">
                  <c:v>58.88412586718038</c:v>
                </c:pt>
                <c:pt idx="31">
                  <c:v>59.307730077762592</c:v>
                </c:pt>
                <c:pt idx="32">
                  <c:v>59.909473258481555</c:v>
                </c:pt>
                <c:pt idx="33">
                  <c:v>60.550401569777137</c:v>
                </c:pt>
                <c:pt idx="34">
                  <c:v>60.42692886612555</c:v>
                </c:pt>
                <c:pt idx="35">
                  <c:v>60.380020373255832</c:v>
                </c:pt>
                <c:pt idx="36">
                  <c:v>60.152046538639574</c:v>
                </c:pt>
                <c:pt idx="37">
                  <c:v>59.944266085192581</c:v>
                </c:pt>
                <c:pt idx="38">
                  <c:v>59.896572430060893</c:v>
                </c:pt>
                <c:pt idx="39">
                  <c:v>59.89513505520722</c:v>
                </c:pt>
                <c:pt idx="40">
                  <c:v>59.946220613899818</c:v>
                </c:pt>
                <c:pt idx="41">
                  <c:v>60.124215300172345</c:v>
                </c:pt>
                <c:pt idx="42">
                  <c:v>60.144306016299737</c:v>
                </c:pt>
                <c:pt idx="43">
                  <c:v>60.138561404883873</c:v>
                </c:pt>
                <c:pt idx="44">
                  <c:v>60.329060921705405</c:v>
                </c:pt>
                <c:pt idx="45">
                  <c:v>60.33282249675959</c:v>
                </c:pt>
                <c:pt idx="46">
                  <c:v>60.368830204816703</c:v>
                </c:pt>
                <c:pt idx="47">
                  <c:v>60.388521571984455</c:v>
                </c:pt>
                <c:pt idx="48">
                  <c:v>60.364725428518476</c:v>
                </c:pt>
                <c:pt idx="49">
                  <c:v>60.286468121583461</c:v>
                </c:pt>
                <c:pt idx="50">
                  <c:v>60.286777797710968</c:v>
                </c:pt>
                <c:pt idx="51">
                  <c:v>60.288228753776451</c:v>
                </c:pt>
                <c:pt idx="52">
                  <c:v>60.194776051278417</c:v>
                </c:pt>
                <c:pt idx="53">
                  <c:v>60.260140613824284</c:v>
                </c:pt>
                <c:pt idx="54">
                  <c:v>60.439723745061713</c:v>
                </c:pt>
                <c:pt idx="55">
                  <c:v>60.515597748275475</c:v>
                </c:pt>
                <c:pt idx="56">
                  <c:v>60.804863186320858</c:v>
                </c:pt>
                <c:pt idx="57">
                  <c:v>61.188162999105899</c:v>
                </c:pt>
                <c:pt idx="58">
                  <c:v>61.276009029406389</c:v>
                </c:pt>
                <c:pt idx="59">
                  <c:v>61.362466265407569</c:v>
                </c:pt>
                <c:pt idx="60">
                  <c:v>61.374088170778926</c:v>
                </c:pt>
                <c:pt idx="61">
                  <c:v>61.388846319009879</c:v>
                </c:pt>
                <c:pt idx="62">
                  <c:v>61.389398667736195</c:v>
                </c:pt>
                <c:pt idx="63">
                  <c:v>61.383890741487726</c:v>
                </c:pt>
                <c:pt idx="64">
                  <c:v>61.384473606011007</c:v>
                </c:pt>
                <c:pt idx="65">
                  <c:v>61.476849544582286</c:v>
                </c:pt>
                <c:pt idx="66">
                  <c:v>61.546327715757386</c:v>
                </c:pt>
                <c:pt idx="67">
                  <c:v>61.558664798514414</c:v>
                </c:pt>
                <c:pt idx="68">
                  <c:v>61.435044402164003</c:v>
                </c:pt>
                <c:pt idx="69">
                  <c:v>61.117706999131237</c:v>
                </c:pt>
                <c:pt idx="70">
                  <c:v>60.868178252829026</c:v>
                </c:pt>
                <c:pt idx="71">
                  <c:v>60.768392787039311</c:v>
                </c:pt>
                <c:pt idx="72">
                  <c:v>60.74696376303109</c:v>
                </c:pt>
                <c:pt idx="73">
                  <c:v>60.75298074811645</c:v>
                </c:pt>
                <c:pt idx="74">
                  <c:v>60.751532780745123</c:v>
                </c:pt>
                <c:pt idx="75">
                  <c:v>60.781165620732871</c:v>
                </c:pt>
                <c:pt idx="76">
                  <c:v>60.820456989799858</c:v>
                </c:pt>
                <c:pt idx="77">
                  <c:v>60.83138733832822</c:v>
                </c:pt>
                <c:pt idx="78">
                  <c:v>60.80539443537814</c:v>
                </c:pt>
                <c:pt idx="79">
                  <c:v>60.746592755075859</c:v>
                </c:pt>
                <c:pt idx="80">
                  <c:v>60.707669719979464</c:v>
                </c:pt>
                <c:pt idx="81">
                  <c:v>60.654210375596847</c:v>
                </c:pt>
                <c:pt idx="82">
                  <c:v>60.533814387948652</c:v>
                </c:pt>
                <c:pt idx="83">
                  <c:v>60.475893002187782</c:v>
                </c:pt>
                <c:pt idx="84">
                  <c:v>60.293879026050156</c:v>
                </c:pt>
                <c:pt idx="85">
                  <c:v>60.145495592217586</c:v>
                </c:pt>
                <c:pt idx="86">
                  <c:v>60.015854271139474</c:v>
                </c:pt>
                <c:pt idx="87">
                  <c:v>59.942383421256707</c:v>
                </c:pt>
                <c:pt idx="88">
                  <c:v>59.806898185550843</c:v>
                </c:pt>
                <c:pt idx="89">
                  <c:v>59.966871192012746</c:v>
                </c:pt>
                <c:pt idx="90">
                  <c:v>60.149152908054354</c:v>
                </c:pt>
                <c:pt idx="91">
                  <c:v>60.398972562408687</c:v>
                </c:pt>
                <c:pt idx="92">
                  <c:v>60.597892586789932</c:v>
                </c:pt>
                <c:pt idx="93">
                  <c:v>60.905415880347121</c:v>
                </c:pt>
                <c:pt idx="94">
                  <c:v>61.285433162245802</c:v>
                </c:pt>
                <c:pt idx="95">
                  <c:v>61.695238503609843</c:v>
                </c:pt>
                <c:pt idx="96">
                  <c:v>62.246884630604846</c:v>
                </c:pt>
                <c:pt idx="97">
                  <c:v>62.876815418307899</c:v>
                </c:pt>
                <c:pt idx="98">
                  <c:v>63.223609749191795</c:v>
                </c:pt>
                <c:pt idx="99">
                  <c:v>63.670900964685146</c:v>
                </c:pt>
                <c:pt idx="100">
                  <c:v>64.198658542491543</c:v>
                </c:pt>
                <c:pt idx="101">
                  <c:v>64.734704248189942</c:v>
                </c:pt>
                <c:pt idx="102">
                  <c:v>65.180440358595646</c:v>
                </c:pt>
                <c:pt idx="103">
                  <c:v>65.788094839198422</c:v>
                </c:pt>
                <c:pt idx="104">
                  <c:v>66.181505899094859</c:v>
                </c:pt>
                <c:pt idx="105">
                  <c:v>66.625582363514056</c:v>
                </c:pt>
                <c:pt idx="106">
                  <c:v>67.10904270123568</c:v>
                </c:pt>
                <c:pt idx="107">
                  <c:v>67.473973540990983</c:v>
                </c:pt>
                <c:pt idx="108">
                  <c:v>67.568650334932826</c:v>
                </c:pt>
                <c:pt idx="109">
                  <c:v>67.658738350131273</c:v>
                </c:pt>
                <c:pt idx="110">
                  <c:v>67.658885115915538</c:v>
                </c:pt>
                <c:pt idx="111">
                  <c:v>67.722625822423126</c:v>
                </c:pt>
                <c:pt idx="112">
                  <c:v>67.720323010526059</c:v>
                </c:pt>
                <c:pt idx="113">
                  <c:v>67.743390422057232</c:v>
                </c:pt>
                <c:pt idx="114">
                  <c:v>67.761008069468545</c:v>
                </c:pt>
                <c:pt idx="115">
                  <c:v>67.931494331532647</c:v>
                </c:pt>
                <c:pt idx="116">
                  <c:v>68.165439819684323</c:v>
                </c:pt>
                <c:pt idx="117">
                  <c:v>68.33266628796062</c:v>
                </c:pt>
                <c:pt idx="118">
                  <c:v>68.671214880039173</c:v>
                </c:pt>
                <c:pt idx="119">
                  <c:v>69.190230344274028</c:v>
                </c:pt>
                <c:pt idx="120">
                  <c:v>69.302965637843457</c:v>
                </c:pt>
                <c:pt idx="121">
                  <c:v>69.336173342939873</c:v>
                </c:pt>
                <c:pt idx="122">
                  <c:v>69.348374087350365</c:v>
                </c:pt>
                <c:pt idx="123">
                  <c:v>69.27666127427544</c:v>
                </c:pt>
                <c:pt idx="124">
                  <c:v>69.272009153356024</c:v>
                </c:pt>
                <c:pt idx="125">
                  <c:v>69.271296595225522</c:v>
                </c:pt>
                <c:pt idx="126">
                  <c:v>69.262639448929207</c:v>
                </c:pt>
                <c:pt idx="127">
                  <c:v>69.226995131767538</c:v>
                </c:pt>
                <c:pt idx="128">
                  <c:v>69.089791489093088</c:v>
                </c:pt>
                <c:pt idx="129">
                  <c:v>68.690412575287141</c:v>
                </c:pt>
                <c:pt idx="130">
                  <c:v>68.239208367437101</c:v>
                </c:pt>
                <c:pt idx="131">
                  <c:v>67.967997619678741</c:v>
                </c:pt>
                <c:pt idx="132">
                  <c:v>67.658111113969042</c:v>
                </c:pt>
                <c:pt idx="133">
                  <c:v>67.309334728868052</c:v>
                </c:pt>
                <c:pt idx="134">
                  <c:v>67.07950212699825</c:v>
                </c:pt>
                <c:pt idx="135">
                  <c:v>66.746334712895376</c:v>
                </c:pt>
                <c:pt idx="136">
                  <c:v>66.441251627898041</c:v>
                </c:pt>
                <c:pt idx="137">
                  <c:v>66.148898219931283</c:v>
                </c:pt>
                <c:pt idx="138">
                  <c:v>65.835829470535288</c:v>
                </c:pt>
                <c:pt idx="139">
                  <c:v>65.663981728987778</c:v>
                </c:pt>
                <c:pt idx="140">
                  <c:v>65.503952749641996</c:v>
                </c:pt>
                <c:pt idx="141">
                  <c:v>65.326722593795367</c:v>
                </c:pt>
                <c:pt idx="142">
                  <c:v>65.226575082123091</c:v>
                </c:pt>
                <c:pt idx="143">
                  <c:v>65.292726666470472</c:v>
                </c:pt>
                <c:pt idx="144">
                  <c:v>65.493877992290876</c:v>
                </c:pt>
                <c:pt idx="145">
                  <c:v>65.559255109065347</c:v>
                </c:pt>
                <c:pt idx="146">
                  <c:v>65.408257274460652</c:v>
                </c:pt>
                <c:pt idx="147">
                  <c:v>65.532083256433111</c:v>
                </c:pt>
                <c:pt idx="148">
                  <c:v>65.433572147350603</c:v>
                </c:pt>
                <c:pt idx="149">
                  <c:v>65.285225770348362</c:v>
                </c:pt>
                <c:pt idx="150">
                  <c:v>64.896102210561438</c:v>
                </c:pt>
                <c:pt idx="151">
                  <c:v>64.536691855547787</c:v>
                </c:pt>
                <c:pt idx="152">
                  <c:v>64.01025657476481</c:v>
                </c:pt>
                <c:pt idx="153">
                  <c:v>63.518888585217034</c:v>
                </c:pt>
                <c:pt idx="154">
                  <c:v>63.247259764178743</c:v>
                </c:pt>
                <c:pt idx="155">
                  <c:v>62.974592176631909</c:v>
                </c:pt>
                <c:pt idx="156">
                  <c:v>62.747079187688712</c:v>
                </c:pt>
                <c:pt idx="157">
                  <c:v>62.370222651550399</c:v>
                </c:pt>
                <c:pt idx="158">
                  <c:v>61.850931765253577</c:v>
                </c:pt>
                <c:pt idx="159">
                  <c:v>61.51368192035499</c:v>
                </c:pt>
                <c:pt idx="160">
                  <c:v>61.131665495042412</c:v>
                </c:pt>
                <c:pt idx="161">
                  <c:v>60.757686092397499</c:v>
                </c:pt>
                <c:pt idx="162">
                  <c:v>60.403471918309286</c:v>
                </c:pt>
                <c:pt idx="163">
                  <c:v>60.183491867329032</c:v>
                </c:pt>
                <c:pt idx="164">
                  <c:v>60.36024622681952</c:v>
                </c:pt>
                <c:pt idx="165">
                  <c:v>60.355812127910461</c:v>
                </c:pt>
                <c:pt idx="166">
                  <c:v>60.240153297406501</c:v>
                </c:pt>
                <c:pt idx="167">
                  <c:v>60.334544688822291</c:v>
                </c:pt>
                <c:pt idx="168">
                  <c:v>60.391939084630451</c:v>
                </c:pt>
                <c:pt idx="169">
                  <c:v>60.56281233782434</c:v>
                </c:pt>
                <c:pt idx="170">
                  <c:v>60.616535190899427</c:v>
                </c:pt>
                <c:pt idx="171">
                  <c:v>60.671766511447686</c:v>
                </c:pt>
                <c:pt idx="172">
                  <c:v>60.630437925848675</c:v>
                </c:pt>
                <c:pt idx="173">
                  <c:v>60.576971239289399</c:v>
                </c:pt>
                <c:pt idx="174">
                  <c:v>60.629997793794722</c:v>
                </c:pt>
                <c:pt idx="175">
                  <c:v>60.739718011768105</c:v>
                </c:pt>
                <c:pt idx="176">
                  <c:v>61.058599434018426</c:v>
                </c:pt>
                <c:pt idx="177">
                  <c:v>61.178817902914759</c:v>
                </c:pt>
                <c:pt idx="178">
                  <c:v>61.130164949686467</c:v>
                </c:pt>
                <c:pt idx="179">
                  <c:v>61.128847176156015</c:v>
                </c:pt>
                <c:pt idx="180">
                  <c:v>61.083256017169013</c:v>
                </c:pt>
                <c:pt idx="181">
                  <c:v>61.126098818627753</c:v>
                </c:pt>
                <c:pt idx="182">
                  <c:v>61.357104499931118</c:v>
                </c:pt>
                <c:pt idx="183">
                  <c:v>61.498173513096049</c:v>
                </c:pt>
                <c:pt idx="184">
                  <c:v>61.707501868469784</c:v>
                </c:pt>
                <c:pt idx="185">
                  <c:v>61.671152236891501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65-4AEB-9D64-15F30DA97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0632560"/>
        <c:axId val="320639760"/>
      </c:lineChart>
      <c:catAx>
        <c:axId val="32063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39760"/>
        <c:crosses val="autoZero"/>
        <c:auto val="1"/>
        <c:lblAlgn val="ctr"/>
        <c:lblOffset val="100"/>
        <c:noMultiLvlLbl val="0"/>
      </c:catAx>
      <c:valAx>
        <c:axId val="32063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3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Stochastic Oscillator Chart (KD)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'Stochastic Oscillator'!$F$1</c:f>
              <c:strCache>
                <c:ptCount val="1"/>
                <c:pt idx="0">
                  <c:v>%K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'Stochastic Oscillator'!$A$2:$A$188</c:f>
              <c:strCache>
                <c:ptCount val="187"/>
                <c:pt idx="0">
                  <c:v>Mar 28, 2025</c:v>
                </c:pt>
                <c:pt idx="1">
                  <c:v>Mar 27, 2025</c:v>
                </c:pt>
                <c:pt idx="2">
                  <c:v>Mar 26, 2025</c:v>
                </c:pt>
                <c:pt idx="3">
                  <c:v>Mar 25, 2025</c:v>
                </c:pt>
                <c:pt idx="4">
                  <c:v>Mar 24, 2025</c:v>
                </c:pt>
                <c:pt idx="5">
                  <c:v>Mar 21, 2025</c:v>
                </c:pt>
                <c:pt idx="6">
                  <c:v>Mar 20, 2025</c:v>
                </c:pt>
                <c:pt idx="7">
                  <c:v>Mar 19, 2025</c:v>
                </c:pt>
                <c:pt idx="8">
                  <c:v>Mar 18, 2025</c:v>
                </c:pt>
                <c:pt idx="9">
                  <c:v>Mar 17, 2025</c:v>
                </c:pt>
                <c:pt idx="10">
                  <c:v>Mar 14, 2025</c:v>
                </c:pt>
                <c:pt idx="11">
                  <c:v>Mar 13, 2025</c:v>
                </c:pt>
                <c:pt idx="12">
                  <c:v>Mar 12, 2025</c:v>
                </c:pt>
                <c:pt idx="13">
                  <c:v>Mar 11, 2025</c:v>
                </c:pt>
                <c:pt idx="14">
                  <c:v>Mar 10, 2025</c:v>
                </c:pt>
                <c:pt idx="15">
                  <c:v>Mar 7, 2025</c:v>
                </c:pt>
                <c:pt idx="16">
                  <c:v>Mar 6, 2025</c:v>
                </c:pt>
                <c:pt idx="17">
                  <c:v>Mar 5, 2025</c:v>
                </c:pt>
                <c:pt idx="18">
                  <c:v>Mar 4, 2025</c:v>
                </c:pt>
                <c:pt idx="19">
                  <c:v>Mar 3, 2025</c:v>
                </c:pt>
                <c:pt idx="20">
                  <c:v>Feb 28, 2025</c:v>
                </c:pt>
                <c:pt idx="21">
                  <c:v>Feb 27, 2025</c:v>
                </c:pt>
                <c:pt idx="22">
                  <c:v>Feb 26, 2025</c:v>
                </c:pt>
                <c:pt idx="23">
                  <c:v>Feb 25, 2025</c:v>
                </c:pt>
                <c:pt idx="24">
                  <c:v>Feb 24, 2025</c:v>
                </c:pt>
                <c:pt idx="25">
                  <c:v>Feb 21, 2025</c:v>
                </c:pt>
                <c:pt idx="26">
                  <c:v>Feb 20, 2025</c:v>
                </c:pt>
                <c:pt idx="27">
                  <c:v>Feb 19, 2025</c:v>
                </c:pt>
                <c:pt idx="28">
                  <c:v>Feb 18, 2025</c:v>
                </c:pt>
                <c:pt idx="29">
                  <c:v>Feb 14, 2025</c:v>
                </c:pt>
                <c:pt idx="30">
                  <c:v>Feb 13, 2025</c:v>
                </c:pt>
                <c:pt idx="31">
                  <c:v>Feb 12, 2025</c:v>
                </c:pt>
                <c:pt idx="32">
                  <c:v>Feb 11, 2025</c:v>
                </c:pt>
                <c:pt idx="33">
                  <c:v>Feb 10, 2025</c:v>
                </c:pt>
                <c:pt idx="34">
                  <c:v>Feb 7, 2025</c:v>
                </c:pt>
                <c:pt idx="35">
                  <c:v>Feb 6, 2025</c:v>
                </c:pt>
                <c:pt idx="36">
                  <c:v>Feb 5, 2025</c:v>
                </c:pt>
                <c:pt idx="37">
                  <c:v>Feb 4, 2025</c:v>
                </c:pt>
                <c:pt idx="38">
                  <c:v>Feb 3, 2025</c:v>
                </c:pt>
                <c:pt idx="39">
                  <c:v>Jan 31, 2025</c:v>
                </c:pt>
                <c:pt idx="40">
                  <c:v>Jan 30, 2025</c:v>
                </c:pt>
                <c:pt idx="41">
                  <c:v>Jan 29, 2025</c:v>
                </c:pt>
                <c:pt idx="42">
                  <c:v>Jan 28, 2025</c:v>
                </c:pt>
                <c:pt idx="43">
                  <c:v>Jan 27, 2025</c:v>
                </c:pt>
                <c:pt idx="44">
                  <c:v>Jan 24, 2025</c:v>
                </c:pt>
                <c:pt idx="45">
                  <c:v>Jan 23, 2025</c:v>
                </c:pt>
                <c:pt idx="46">
                  <c:v>Jan 22, 2025</c:v>
                </c:pt>
                <c:pt idx="47">
                  <c:v>Jan 21, 2025</c:v>
                </c:pt>
                <c:pt idx="48">
                  <c:v>Jan 17, 2025</c:v>
                </c:pt>
                <c:pt idx="49">
                  <c:v>Jan 16, 2025</c:v>
                </c:pt>
                <c:pt idx="50">
                  <c:v>Jan 15, 2025</c:v>
                </c:pt>
                <c:pt idx="51">
                  <c:v>Jan 14, 2025</c:v>
                </c:pt>
                <c:pt idx="52">
                  <c:v>Jan 13, 2025</c:v>
                </c:pt>
                <c:pt idx="53">
                  <c:v>Jan 10, 2025</c:v>
                </c:pt>
                <c:pt idx="54">
                  <c:v>Jan 8, 2025</c:v>
                </c:pt>
                <c:pt idx="55">
                  <c:v>Jan 7, 2025</c:v>
                </c:pt>
                <c:pt idx="56">
                  <c:v>Jan 6, 2025</c:v>
                </c:pt>
                <c:pt idx="57">
                  <c:v>Jan 3, 2025</c:v>
                </c:pt>
                <c:pt idx="58">
                  <c:v>Jan 2, 2025</c:v>
                </c:pt>
                <c:pt idx="59">
                  <c:v>Dec 31, 2024</c:v>
                </c:pt>
                <c:pt idx="60">
                  <c:v>Dec 30, 2024</c:v>
                </c:pt>
                <c:pt idx="61">
                  <c:v>Dec 27, 2024</c:v>
                </c:pt>
                <c:pt idx="62">
                  <c:v>Dec 26, 2024</c:v>
                </c:pt>
                <c:pt idx="63">
                  <c:v>Dec 24, 2024</c:v>
                </c:pt>
                <c:pt idx="64">
                  <c:v>Dec 23, 2024</c:v>
                </c:pt>
                <c:pt idx="65">
                  <c:v>Dec 20, 2024</c:v>
                </c:pt>
                <c:pt idx="66">
                  <c:v>Dec 19, 2024</c:v>
                </c:pt>
                <c:pt idx="67">
                  <c:v>Dec 18, 2024</c:v>
                </c:pt>
                <c:pt idx="68">
                  <c:v>Dec 17, 2024</c:v>
                </c:pt>
                <c:pt idx="69">
                  <c:v>Dec 16, 2024</c:v>
                </c:pt>
                <c:pt idx="70">
                  <c:v>Dec 13, 2024</c:v>
                </c:pt>
                <c:pt idx="71">
                  <c:v>Dec 12, 2024</c:v>
                </c:pt>
                <c:pt idx="72">
                  <c:v>Dec 11, 2024</c:v>
                </c:pt>
                <c:pt idx="73">
                  <c:v>Dec 10, 2024</c:v>
                </c:pt>
                <c:pt idx="74">
                  <c:v>Dec 9, 2024</c:v>
                </c:pt>
                <c:pt idx="75">
                  <c:v>Dec 6, 2024</c:v>
                </c:pt>
                <c:pt idx="76">
                  <c:v>Dec 5, 2024</c:v>
                </c:pt>
                <c:pt idx="77">
                  <c:v>Dec 4, 2024</c:v>
                </c:pt>
                <c:pt idx="78">
                  <c:v>Dec 3, 2024</c:v>
                </c:pt>
                <c:pt idx="79">
                  <c:v>Dec 2, 2024</c:v>
                </c:pt>
                <c:pt idx="80">
                  <c:v>Nov 29, 2024</c:v>
                </c:pt>
                <c:pt idx="81">
                  <c:v>Nov 27, 2024</c:v>
                </c:pt>
                <c:pt idx="82">
                  <c:v>Nov 26, 2024</c:v>
                </c:pt>
                <c:pt idx="83">
                  <c:v>Nov 25, 2024</c:v>
                </c:pt>
                <c:pt idx="84">
                  <c:v>Nov 22, 2024</c:v>
                </c:pt>
                <c:pt idx="85">
                  <c:v>Nov 21, 2024</c:v>
                </c:pt>
                <c:pt idx="86">
                  <c:v>Nov 20, 2024</c:v>
                </c:pt>
                <c:pt idx="87">
                  <c:v>Nov 19, 2024</c:v>
                </c:pt>
                <c:pt idx="88">
                  <c:v>Nov 18, 2024</c:v>
                </c:pt>
                <c:pt idx="89">
                  <c:v>Nov 15, 2024</c:v>
                </c:pt>
                <c:pt idx="90">
                  <c:v>Nov 14, 2024</c:v>
                </c:pt>
                <c:pt idx="91">
                  <c:v>Nov 13, 2024</c:v>
                </c:pt>
                <c:pt idx="92">
                  <c:v>Nov 12, 2024</c:v>
                </c:pt>
                <c:pt idx="93">
                  <c:v>Nov 11, 2024</c:v>
                </c:pt>
                <c:pt idx="94">
                  <c:v>Nov 8, 2024</c:v>
                </c:pt>
                <c:pt idx="95">
                  <c:v>Nov 7, 2024</c:v>
                </c:pt>
                <c:pt idx="96">
                  <c:v>Nov 6, 2024</c:v>
                </c:pt>
                <c:pt idx="97">
                  <c:v>Nov 5, 2024</c:v>
                </c:pt>
                <c:pt idx="98">
                  <c:v>Nov 4, 2024</c:v>
                </c:pt>
                <c:pt idx="99">
                  <c:v>Nov 1, 2024</c:v>
                </c:pt>
                <c:pt idx="100">
                  <c:v>Oct 31, 2024</c:v>
                </c:pt>
                <c:pt idx="101">
                  <c:v>Oct 30, 2024</c:v>
                </c:pt>
                <c:pt idx="102">
                  <c:v>Oct 29, 2024</c:v>
                </c:pt>
                <c:pt idx="103">
                  <c:v>Oct 28, 2024</c:v>
                </c:pt>
                <c:pt idx="104">
                  <c:v>Oct 25, 2024</c:v>
                </c:pt>
                <c:pt idx="105">
                  <c:v>Oct 24, 2024</c:v>
                </c:pt>
                <c:pt idx="106">
                  <c:v>Oct 23, 2024</c:v>
                </c:pt>
                <c:pt idx="107">
                  <c:v>Oct 22, 2024</c:v>
                </c:pt>
                <c:pt idx="108">
                  <c:v>Oct 21, 2024</c:v>
                </c:pt>
                <c:pt idx="109">
                  <c:v>Oct 18, 2024</c:v>
                </c:pt>
                <c:pt idx="110">
                  <c:v>Oct 17, 2024</c:v>
                </c:pt>
                <c:pt idx="111">
                  <c:v>Oct 16, 2024</c:v>
                </c:pt>
                <c:pt idx="112">
                  <c:v>Oct 15, 2024</c:v>
                </c:pt>
                <c:pt idx="113">
                  <c:v>Oct 14, 2024</c:v>
                </c:pt>
                <c:pt idx="114">
                  <c:v>Oct 11, 2024</c:v>
                </c:pt>
                <c:pt idx="115">
                  <c:v>Oct 10, 2024</c:v>
                </c:pt>
                <c:pt idx="116">
                  <c:v>Oct 9, 2024</c:v>
                </c:pt>
                <c:pt idx="117">
                  <c:v>Oct 8, 2024</c:v>
                </c:pt>
                <c:pt idx="118">
                  <c:v>Oct 7, 2024</c:v>
                </c:pt>
                <c:pt idx="119">
                  <c:v>Oct 4, 2024</c:v>
                </c:pt>
                <c:pt idx="120">
                  <c:v>Oct 3, 2024</c:v>
                </c:pt>
                <c:pt idx="121">
                  <c:v>Oct 2, 2024</c:v>
                </c:pt>
                <c:pt idx="122">
                  <c:v>Oct 1, 2024</c:v>
                </c:pt>
                <c:pt idx="123">
                  <c:v>Sep 30, 2024</c:v>
                </c:pt>
                <c:pt idx="124">
                  <c:v>Sep 27, 2024</c:v>
                </c:pt>
                <c:pt idx="125">
                  <c:v>Sep 26, 2024</c:v>
                </c:pt>
                <c:pt idx="126">
                  <c:v>Sep 25, 2024</c:v>
                </c:pt>
                <c:pt idx="127">
                  <c:v>Sep 24, 2024</c:v>
                </c:pt>
                <c:pt idx="128">
                  <c:v>Sep 23, 2024</c:v>
                </c:pt>
                <c:pt idx="129">
                  <c:v>Sep 20, 2024</c:v>
                </c:pt>
                <c:pt idx="130">
                  <c:v>Sep 19, 2024</c:v>
                </c:pt>
                <c:pt idx="131">
                  <c:v>Sep 18, 2024</c:v>
                </c:pt>
                <c:pt idx="132">
                  <c:v>Sep 17, 2024</c:v>
                </c:pt>
                <c:pt idx="133">
                  <c:v>Sep 16, 2024</c:v>
                </c:pt>
                <c:pt idx="134">
                  <c:v>Sep 13, 2024</c:v>
                </c:pt>
                <c:pt idx="135">
                  <c:v>Sep 12, 2024</c:v>
                </c:pt>
                <c:pt idx="136">
                  <c:v>Sep 11, 2024</c:v>
                </c:pt>
                <c:pt idx="137">
                  <c:v>Sep 10, 2024</c:v>
                </c:pt>
                <c:pt idx="138">
                  <c:v>Sep 9, 2024</c:v>
                </c:pt>
                <c:pt idx="139">
                  <c:v>Sep 6, 2024</c:v>
                </c:pt>
                <c:pt idx="140">
                  <c:v>Sep 5, 2024</c:v>
                </c:pt>
                <c:pt idx="141">
                  <c:v>Sep 4, 2024</c:v>
                </c:pt>
                <c:pt idx="142">
                  <c:v>Sep 3, 2024</c:v>
                </c:pt>
                <c:pt idx="143">
                  <c:v>Aug 30, 2024</c:v>
                </c:pt>
                <c:pt idx="144">
                  <c:v>Aug 29, 2024</c:v>
                </c:pt>
                <c:pt idx="145">
                  <c:v>Aug 28, 2024</c:v>
                </c:pt>
                <c:pt idx="146">
                  <c:v>Aug 27, 2024</c:v>
                </c:pt>
                <c:pt idx="147">
                  <c:v>Aug 26, 2024</c:v>
                </c:pt>
                <c:pt idx="148">
                  <c:v>Aug 23, 2024</c:v>
                </c:pt>
                <c:pt idx="149">
                  <c:v>Aug 22, 2024</c:v>
                </c:pt>
                <c:pt idx="150">
                  <c:v>Aug 21, 2024</c:v>
                </c:pt>
                <c:pt idx="151">
                  <c:v>Aug 20, 2024</c:v>
                </c:pt>
                <c:pt idx="152">
                  <c:v>Aug 19, 2024</c:v>
                </c:pt>
                <c:pt idx="153">
                  <c:v>Aug 16, 2024</c:v>
                </c:pt>
                <c:pt idx="154">
                  <c:v>Aug 15, 2024</c:v>
                </c:pt>
                <c:pt idx="155">
                  <c:v>Aug 14, 2024</c:v>
                </c:pt>
                <c:pt idx="156">
                  <c:v>Aug 13, 2024</c:v>
                </c:pt>
                <c:pt idx="157">
                  <c:v>Aug 12, 2024</c:v>
                </c:pt>
                <c:pt idx="158">
                  <c:v>Aug 9, 2024</c:v>
                </c:pt>
                <c:pt idx="159">
                  <c:v>Aug 8, 2024</c:v>
                </c:pt>
                <c:pt idx="160">
                  <c:v>Aug 7, 2024</c:v>
                </c:pt>
                <c:pt idx="161">
                  <c:v>Aug 6, 2024</c:v>
                </c:pt>
                <c:pt idx="162">
                  <c:v>Aug 5, 2024</c:v>
                </c:pt>
                <c:pt idx="163">
                  <c:v>Aug 2, 2024</c:v>
                </c:pt>
                <c:pt idx="164">
                  <c:v>Aug 1, 2024</c:v>
                </c:pt>
                <c:pt idx="165">
                  <c:v>Jul 31, 2024</c:v>
                </c:pt>
                <c:pt idx="166">
                  <c:v>Jul 30, 2024</c:v>
                </c:pt>
                <c:pt idx="167">
                  <c:v>Jul 29, 2024</c:v>
                </c:pt>
                <c:pt idx="168">
                  <c:v>Jul 26, 2024</c:v>
                </c:pt>
                <c:pt idx="169">
                  <c:v>Jul 25, 2024</c:v>
                </c:pt>
                <c:pt idx="170">
                  <c:v>Jul 24, 2024</c:v>
                </c:pt>
                <c:pt idx="171">
                  <c:v>Jul 23, 2024</c:v>
                </c:pt>
                <c:pt idx="172">
                  <c:v>Jul 22, 2024</c:v>
                </c:pt>
                <c:pt idx="173">
                  <c:v>Jul 19, 2024</c:v>
                </c:pt>
                <c:pt idx="174">
                  <c:v>Jul 18, 2024</c:v>
                </c:pt>
                <c:pt idx="175">
                  <c:v>Jul 17, 2024</c:v>
                </c:pt>
                <c:pt idx="176">
                  <c:v>Jul 16, 2024</c:v>
                </c:pt>
                <c:pt idx="177">
                  <c:v>Jul 15, 2024</c:v>
                </c:pt>
                <c:pt idx="178">
                  <c:v>Jul 12, 2024</c:v>
                </c:pt>
                <c:pt idx="179">
                  <c:v>Jul 11, 2024</c:v>
                </c:pt>
                <c:pt idx="180">
                  <c:v>Jul 10, 2024</c:v>
                </c:pt>
                <c:pt idx="181">
                  <c:v>Jul 9, 2024</c:v>
                </c:pt>
                <c:pt idx="182">
                  <c:v>Jul 8, 2024</c:v>
                </c:pt>
                <c:pt idx="183">
                  <c:v>Jul 5, 2024</c:v>
                </c:pt>
                <c:pt idx="184">
                  <c:v>Jul 3, 2024</c:v>
                </c:pt>
                <c:pt idx="185">
                  <c:v>Jul 2, 2024</c:v>
                </c:pt>
                <c:pt idx="186">
                  <c:v>Jul 1, 2024</c:v>
                </c:pt>
              </c:strCache>
            </c:strRef>
          </c:cat>
          <c:val>
            <c:numRef>
              <c:f>'Stochastic Oscillator'!$F$2:$F$188</c:f>
              <c:numCache>
                <c:formatCode>General</c:formatCode>
                <c:ptCount val="187"/>
                <c:pt idx="0">
                  <c:v>82.125603864734714</c:v>
                </c:pt>
                <c:pt idx="1">
                  <c:v>91.592920353981782</c:v>
                </c:pt>
                <c:pt idx="2">
                  <c:v>59.734513274335896</c:v>
                </c:pt>
                <c:pt idx="3">
                  <c:v>6.1946902654867371</c:v>
                </c:pt>
                <c:pt idx="4">
                  <c:v>12.389380530973474</c:v>
                </c:pt>
                <c:pt idx="5">
                  <c:v>0</c:v>
                </c:pt>
                <c:pt idx="6">
                  <c:v>22.388059701492267</c:v>
                </c:pt>
                <c:pt idx="7">
                  <c:v>6.3432835820896001</c:v>
                </c:pt>
                <c:pt idx="8">
                  <c:v>10.074626865671469</c:v>
                </c:pt>
                <c:pt idx="9">
                  <c:v>37.686567164179202</c:v>
                </c:pt>
                <c:pt idx="10">
                  <c:v>1.865671641790934</c:v>
                </c:pt>
                <c:pt idx="11">
                  <c:v>0</c:v>
                </c:pt>
                <c:pt idx="12">
                  <c:v>0</c:v>
                </c:pt>
                <c:pt idx="13">
                  <c:v>43.805309734512946</c:v>
                </c:pt>
                <c:pt idx="14">
                  <c:v>61.946902654867365</c:v>
                </c:pt>
                <c:pt idx="15">
                  <c:v>72.923076923076621</c:v>
                </c:pt>
                <c:pt idx="16">
                  <c:v>45.906432748537789</c:v>
                </c:pt>
                <c:pt idx="17">
                  <c:v>35.087719298245261</c:v>
                </c:pt>
                <c:pt idx="18">
                  <c:v>41.061452513966699</c:v>
                </c:pt>
                <c:pt idx="19">
                  <c:v>100</c:v>
                </c:pt>
                <c:pt idx="20">
                  <c:v>95.936139332365727</c:v>
                </c:pt>
                <c:pt idx="21">
                  <c:v>91.842105263157833</c:v>
                </c:pt>
                <c:pt idx="22">
                  <c:v>91.449814126394074</c:v>
                </c:pt>
                <c:pt idx="23">
                  <c:v>100</c:v>
                </c:pt>
                <c:pt idx="24">
                  <c:v>91.183294663573022</c:v>
                </c:pt>
                <c:pt idx="25">
                  <c:v>100</c:v>
                </c:pt>
                <c:pt idx="26">
                  <c:v>99.591836734693857</c:v>
                </c:pt>
                <c:pt idx="27">
                  <c:v>100</c:v>
                </c:pt>
                <c:pt idx="28">
                  <c:v>93.362831858407247</c:v>
                </c:pt>
                <c:pt idx="29">
                  <c:v>91.255289139633419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91.599999999999966</c:v>
                </c:pt>
                <c:pt idx="35">
                  <c:v>72.800000000000011</c:v>
                </c:pt>
                <c:pt idx="36">
                  <c:v>63.199999999999932</c:v>
                </c:pt>
                <c:pt idx="37">
                  <c:v>45.200000000000102</c:v>
                </c:pt>
                <c:pt idx="38">
                  <c:v>72.400000000000091</c:v>
                </c:pt>
                <c:pt idx="39">
                  <c:v>77.199999999999989</c:v>
                </c:pt>
                <c:pt idx="40">
                  <c:v>100</c:v>
                </c:pt>
                <c:pt idx="41">
                  <c:v>62.949640287769761</c:v>
                </c:pt>
                <c:pt idx="42">
                  <c:v>50.166112956810593</c:v>
                </c:pt>
                <c:pt idx="43">
                  <c:v>100</c:v>
                </c:pt>
                <c:pt idx="44">
                  <c:v>58.730158730158678</c:v>
                </c:pt>
                <c:pt idx="45">
                  <c:v>38.095238095238024</c:v>
                </c:pt>
                <c:pt idx="46">
                  <c:v>51.322751322751245</c:v>
                </c:pt>
                <c:pt idx="47">
                  <c:v>84.656084656084701</c:v>
                </c:pt>
                <c:pt idx="48">
                  <c:v>100</c:v>
                </c:pt>
                <c:pt idx="49">
                  <c:v>81.714285714285694</c:v>
                </c:pt>
                <c:pt idx="50">
                  <c:v>47.524752475247496</c:v>
                </c:pt>
                <c:pt idx="51">
                  <c:v>60.89108910891099</c:v>
                </c:pt>
                <c:pt idx="52">
                  <c:v>41.584158415841685</c:v>
                </c:pt>
                <c:pt idx="53">
                  <c:v>12.871287128712753</c:v>
                </c:pt>
                <c:pt idx="54">
                  <c:v>44.334975369458036</c:v>
                </c:pt>
                <c:pt idx="55">
                  <c:v>1.1627906976744635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12.290502793296032</c:v>
                </c:pt>
                <c:pt idx="60">
                  <c:v>0</c:v>
                </c:pt>
                <c:pt idx="61">
                  <c:v>4.8275862068965854</c:v>
                </c:pt>
                <c:pt idx="62">
                  <c:v>13.10344827586195</c:v>
                </c:pt>
                <c:pt idx="63">
                  <c:v>31.724137931034633</c:v>
                </c:pt>
                <c:pt idx="64">
                  <c:v>10.493827160493948</c:v>
                </c:pt>
                <c:pt idx="65">
                  <c:v>20.987654320987897</c:v>
                </c:pt>
                <c:pt idx="66">
                  <c:v>14.814814814814961</c:v>
                </c:pt>
                <c:pt idx="67">
                  <c:v>34.408602150537675</c:v>
                </c:pt>
                <c:pt idx="68">
                  <c:v>63.978494623655813</c:v>
                </c:pt>
                <c:pt idx="69">
                  <c:v>18.279569892473308</c:v>
                </c:pt>
                <c:pt idx="70">
                  <c:v>48.924731182795526</c:v>
                </c:pt>
                <c:pt idx="71">
                  <c:v>87.096774193548271</c:v>
                </c:pt>
                <c:pt idx="72">
                  <c:v>23.118279569892465</c:v>
                </c:pt>
                <c:pt idx="73">
                  <c:v>37.634408602150707</c:v>
                </c:pt>
                <c:pt idx="74">
                  <c:v>24.615384615384784</c:v>
                </c:pt>
                <c:pt idx="75">
                  <c:v>42.322097378277221</c:v>
                </c:pt>
                <c:pt idx="76">
                  <c:v>58.633093525179923</c:v>
                </c:pt>
                <c:pt idx="77">
                  <c:v>33.093525179856165</c:v>
                </c:pt>
                <c:pt idx="78">
                  <c:v>79.856115107913595</c:v>
                </c:pt>
                <c:pt idx="79">
                  <c:v>84.532374100719437</c:v>
                </c:pt>
                <c:pt idx="80">
                  <c:v>100</c:v>
                </c:pt>
                <c:pt idx="81">
                  <c:v>96.01449275362296</c:v>
                </c:pt>
                <c:pt idx="82">
                  <c:v>100</c:v>
                </c:pt>
                <c:pt idx="83">
                  <c:v>100</c:v>
                </c:pt>
                <c:pt idx="84">
                  <c:v>59.943977591036301</c:v>
                </c:pt>
                <c:pt idx="85">
                  <c:v>55.742296918767444</c:v>
                </c:pt>
                <c:pt idx="86">
                  <c:v>34.453781512605083</c:v>
                </c:pt>
                <c:pt idx="87">
                  <c:v>23.249299719887858</c:v>
                </c:pt>
                <c:pt idx="88">
                  <c:v>2.6763990267639768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4.3859649122806994</c:v>
                </c:pt>
                <c:pt idx="95">
                  <c:v>0</c:v>
                </c:pt>
                <c:pt idx="96">
                  <c:v>0</c:v>
                </c:pt>
                <c:pt idx="97">
                  <c:v>6.5420560747665046</c:v>
                </c:pt>
                <c:pt idx="98">
                  <c:v>1.8248175182483295</c:v>
                </c:pt>
                <c:pt idx="99">
                  <c:v>0</c:v>
                </c:pt>
                <c:pt idx="100">
                  <c:v>0</c:v>
                </c:pt>
                <c:pt idx="101">
                  <c:v>7.0850202429148679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27.922077922078252</c:v>
                </c:pt>
                <c:pt idx="108">
                  <c:v>21.827411167513048</c:v>
                </c:pt>
                <c:pt idx="109">
                  <c:v>53.00751879699267</c:v>
                </c:pt>
                <c:pt idx="110">
                  <c:v>31.316725978648009</c:v>
                </c:pt>
                <c:pt idx="111">
                  <c:v>54.804270462633632</c:v>
                </c:pt>
                <c:pt idx="112">
                  <c:v>46.619217081850579</c:v>
                </c:pt>
                <c:pt idx="113">
                  <c:v>46.619217081850579</c:v>
                </c:pt>
                <c:pt idx="114">
                  <c:v>19.572953736655194</c:v>
                </c:pt>
                <c:pt idx="115">
                  <c:v>8.5409252669042317</c:v>
                </c:pt>
                <c:pt idx="116">
                  <c:v>19.572953736655194</c:v>
                </c:pt>
                <c:pt idx="117">
                  <c:v>6.0498220640569951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26.712328767123182</c:v>
                </c:pt>
                <c:pt idx="122">
                  <c:v>73.972602739726483</c:v>
                </c:pt>
                <c:pt idx="123">
                  <c:v>84.459459459459225</c:v>
                </c:pt>
                <c:pt idx="124">
                  <c:v>79.729729729729982</c:v>
                </c:pt>
                <c:pt idx="125">
                  <c:v>53.378378378378656</c:v>
                </c:pt>
                <c:pt idx="126">
                  <c:v>56.756756756756829</c:v>
                </c:pt>
                <c:pt idx="127">
                  <c:v>48.64864864864844</c:v>
                </c:pt>
                <c:pt idx="128">
                  <c:v>75.675675675675777</c:v>
                </c:pt>
                <c:pt idx="129">
                  <c:v>54.497354497354543</c:v>
                </c:pt>
                <c:pt idx="130">
                  <c:v>1.0582010582008474</c:v>
                </c:pt>
                <c:pt idx="131">
                  <c:v>60.317460317460323</c:v>
                </c:pt>
                <c:pt idx="132">
                  <c:v>62.96296296296282</c:v>
                </c:pt>
                <c:pt idx="133">
                  <c:v>78.306878306878488</c:v>
                </c:pt>
                <c:pt idx="134">
                  <c:v>48.584905660377309</c:v>
                </c:pt>
                <c:pt idx="135">
                  <c:v>44.761904761904773</c:v>
                </c:pt>
                <c:pt idx="136">
                  <c:v>47.499999999999901</c:v>
                </c:pt>
                <c:pt idx="137">
                  <c:v>60.277777777777921</c:v>
                </c:pt>
                <c:pt idx="138">
                  <c:v>68.333333333333272</c:v>
                </c:pt>
                <c:pt idx="139">
                  <c:v>53.553299492385811</c:v>
                </c:pt>
                <c:pt idx="140">
                  <c:v>54.314720812182784</c:v>
                </c:pt>
                <c:pt idx="141">
                  <c:v>89.695550351288105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84.459459459460035</c:v>
                </c:pt>
                <c:pt idx="150">
                  <c:v>100</c:v>
                </c:pt>
                <c:pt idx="151">
                  <c:v>100</c:v>
                </c:pt>
                <c:pt idx="152">
                  <c:v>86.61417322834636</c:v>
                </c:pt>
                <c:pt idx="153">
                  <c:v>94.094488188976172</c:v>
                </c:pt>
                <c:pt idx="154">
                  <c:v>73.622047244094489</c:v>
                </c:pt>
                <c:pt idx="155">
                  <c:v>71.259842519684952</c:v>
                </c:pt>
                <c:pt idx="156">
                  <c:v>73.354231974921348</c:v>
                </c:pt>
                <c:pt idx="157">
                  <c:v>66.956521739130451</c:v>
                </c:pt>
                <c:pt idx="158">
                  <c:v>85.046728971962608</c:v>
                </c:pt>
                <c:pt idx="159">
                  <c:v>86.771300448430424</c:v>
                </c:pt>
                <c:pt idx="160">
                  <c:v>80.941704035874253</c:v>
                </c:pt>
                <c:pt idx="161">
                  <c:v>71.973094170403598</c:v>
                </c:pt>
                <c:pt idx="162">
                  <c:v>73.094170403587384</c:v>
                </c:pt>
                <c:pt idx="163">
                  <c:v>100</c:v>
                </c:pt>
                <c:pt idx="164">
                  <c:v>100</c:v>
                </c:pt>
                <c:pt idx="165">
                  <c:v>77.93764988009589</c:v>
                </c:pt>
                <c:pt idx="166">
                  <c:v>100</c:v>
                </c:pt>
                <c:pt idx="167">
                  <c:v>94.67312348668284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87.058823529411825</c:v>
                </c:pt>
                <c:pt idx="172">
                  <c:v>80.000000000000057</c:v>
                </c:pt>
                <c:pt idx="173">
                  <c:v>100</c:v>
                </c:pt>
                <c:pt idx="174">
                  <c:v>99.190283400809591</c:v>
                </c:pt>
                <c:pt idx="175">
                  <c:v>100</c:v>
                </c:pt>
                <c:pt idx="176">
                  <c:v>100</c:v>
                </c:pt>
                <c:pt idx="177">
                  <c:v>67.619047619047194</c:v>
                </c:pt>
                <c:pt idx="178">
                  <c:v>94.28571428571405</c:v>
                </c:pt>
                <c:pt idx="179">
                  <c:v>38.095238095238066</c:v>
                </c:pt>
                <c:pt idx="180">
                  <c:v>13.333333333332748</c:v>
                </c:pt>
                <c:pt idx="181">
                  <c:v>0</c:v>
                </c:pt>
                <c:pt idx="182">
                  <c:v>0</c:v>
                </c:pt>
                <c:pt idx="183">
                  <c:v>100</c:v>
                </c:pt>
                <c:pt idx="184">
                  <c:v>100</c:v>
                </c:pt>
                <c:pt idx="18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C9-4BDD-ADCB-49AA89317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338031"/>
        <c:axId val="234340911"/>
      </c:barChart>
      <c:lineChart>
        <c:grouping val="standard"/>
        <c:varyColors val="0"/>
        <c:ser>
          <c:idx val="1"/>
          <c:order val="1"/>
          <c:tx>
            <c:strRef>
              <c:f>'Stochastic Oscillator'!$G$1</c:f>
              <c:strCache>
                <c:ptCount val="1"/>
                <c:pt idx="0">
                  <c:v>3-day SMA of %K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'Stochastic Oscillator'!$A$2:$A$188</c:f>
              <c:strCache>
                <c:ptCount val="187"/>
                <c:pt idx="0">
                  <c:v>Mar 28, 2025</c:v>
                </c:pt>
                <c:pt idx="1">
                  <c:v>Mar 27, 2025</c:v>
                </c:pt>
                <c:pt idx="2">
                  <c:v>Mar 26, 2025</c:v>
                </c:pt>
                <c:pt idx="3">
                  <c:v>Mar 25, 2025</c:v>
                </c:pt>
                <c:pt idx="4">
                  <c:v>Mar 24, 2025</c:v>
                </c:pt>
                <c:pt idx="5">
                  <c:v>Mar 21, 2025</c:v>
                </c:pt>
                <c:pt idx="6">
                  <c:v>Mar 20, 2025</c:v>
                </c:pt>
                <c:pt idx="7">
                  <c:v>Mar 19, 2025</c:v>
                </c:pt>
                <c:pt idx="8">
                  <c:v>Mar 18, 2025</c:v>
                </c:pt>
                <c:pt idx="9">
                  <c:v>Mar 17, 2025</c:v>
                </c:pt>
                <c:pt idx="10">
                  <c:v>Mar 14, 2025</c:v>
                </c:pt>
                <c:pt idx="11">
                  <c:v>Mar 13, 2025</c:v>
                </c:pt>
                <c:pt idx="12">
                  <c:v>Mar 12, 2025</c:v>
                </c:pt>
                <c:pt idx="13">
                  <c:v>Mar 11, 2025</c:v>
                </c:pt>
                <c:pt idx="14">
                  <c:v>Mar 10, 2025</c:v>
                </c:pt>
                <c:pt idx="15">
                  <c:v>Mar 7, 2025</c:v>
                </c:pt>
                <c:pt idx="16">
                  <c:v>Mar 6, 2025</c:v>
                </c:pt>
                <c:pt idx="17">
                  <c:v>Mar 5, 2025</c:v>
                </c:pt>
                <c:pt idx="18">
                  <c:v>Mar 4, 2025</c:v>
                </c:pt>
                <c:pt idx="19">
                  <c:v>Mar 3, 2025</c:v>
                </c:pt>
                <c:pt idx="20">
                  <c:v>Feb 28, 2025</c:v>
                </c:pt>
                <c:pt idx="21">
                  <c:v>Feb 27, 2025</c:v>
                </c:pt>
                <c:pt idx="22">
                  <c:v>Feb 26, 2025</c:v>
                </c:pt>
                <c:pt idx="23">
                  <c:v>Feb 25, 2025</c:v>
                </c:pt>
                <c:pt idx="24">
                  <c:v>Feb 24, 2025</c:v>
                </c:pt>
                <c:pt idx="25">
                  <c:v>Feb 21, 2025</c:v>
                </c:pt>
                <c:pt idx="26">
                  <c:v>Feb 20, 2025</c:v>
                </c:pt>
                <c:pt idx="27">
                  <c:v>Feb 19, 2025</c:v>
                </c:pt>
                <c:pt idx="28">
                  <c:v>Feb 18, 2025</c:v>
                </c:pt>
                <c:pt idx="29">
                  <c:v>Feb 14, 2025</c:v>
                </c:pt>
                <c:pt idx="30">
                  <c:v>Feb 13, 2025</c:v>
                </c:pt>
                <c:pt idx="31">
                  <c:v>Feb 12, 2025</c:v>
                </c:pt>
                <c:pt idx="32">
                  <c:v>Feb 11, 2025</c:v>
                </c:pt>
                <c:pt idx="33">
                  <c:v>Feb 10, 2025</c:v>
                </c:pt>
                <c:pt idx="34">
                  <c:v>Feb 7, 2025</c:v>
                </c:pt>
                <c:pt idx="35">
                  <c:v>Feb 6, 2025</c:v>
                </c:pt>
                <c:pt idx="36">
                  <c:v>Feb 5, 2025</c:v>
                </c:pt>
                <c:pt idx="37">
                  <c:v>Feb 4, 2025</c:v>
                </c:pt>
                <c:pt idx="38">
                  <c:v>Feb 3, 2025</c:v>
                </c:pt>
                <c:pt idx="39">
                  <c:v>Jan 31, 2025</c:v>
                </c:pt>
                <c:pt idx="40">
                  <c:v>Jan 30, 2025</c:v>
                </c:pt>
                <c:pt idx="41">
                  <c:v>Jan 29, 2025</c:v>
                </c:pt>
                <c:pt idx="42">
                  <c:v>Jan 28, 2025</c:v>
                </c:pt>
                <c:pt idx="43">
                  <c:v>Jan 27, 2025</c:v>
                </c:pt>
                <c:pt idx="44">
                  <c:v>Jan 24, 2025</c:v>
                </c:pt>
                <c:pt idx="45">
                  <c:v>Jan 23, 2025</c:v>
                </c:pt>
                <c:pt idx="46">
                  <c:v>Jan 22, 2025</c:v>
                </c:pt>
                <c:pt idx="47">
                  <c:v>Jan 21, 2025</c:v>
                </c:pt>
                <c:pt idx="48">
                  <c:v>Jan 17, 2025</c:v>
                </c:pt>
                <c:pt idx="49">
                  <c:v>Jan 16, 2025</c:v>
                </c:pt>
                <c:pt idx="50">
                  <c:v>Jan 15, 2025</c:v>
                </c:pt>
                <c:pt idx="51">
                  <c:v>Jan 14, 2025</c:v>
                </c:pt>
                <c:pt idx="52">
                  <c:v>Jan 13, 2025</c:v>
                </c:pt>
                <c:pt idx="53">
                  <c:v>Jan 10, 2025</c:v>
                </c:pt>
                <c:pt idx="54">
                  <c:v>Jan 8, 2025</c:v>
                </c:pt>
                <c:pt idx="55">
                  <c:v>Jan 7, 2025</c:v>
                </c:pt>
                <c:pt idx="56">
                  <c:v>Jan 6, 2025</c:v>
                </c:pt>
                <c:pt idx="57">
                  <c:v>Jan 3, 2025</c:v>
                </c:pt>
                <c:pt idx="58">
                  <c:v>Jan 2, 2025</c:v>
                </c:pt>
                <c:pt idx="59">
                  <c:v>Dec 31, 2024</c:v>
                </c:pt>
                <c:pt idx="60">
                  <c:v>Dec 30, 2024</c:v>
                </c:pt>
                <c:pt idx="61">
                  <c:v>Dec 27, 2024</c:v>
                </c:pt>
                <c:pt idx="62">
                  <c:v>Dec 26, 2024</c:v>
                </c:pt>
                <c:pt idx="63">
                  <c:v>Dec 24, 2024</c:v>
                </c:pt>
                <c:pt idx="64">
                  <c:v>Dec 23, 2024</c:v>
                </c:pt>
                <c:pt idx="65">
                  <c:v>Dec 20, 2024</c:v>
                </c:pt>
                <c:pt idx="66">
                  <c:v>Dec 19, 2024</c:v>
                </c:pt>
                <c:pt idx="67">
                  <c:v>Dec 18, 2024</c:v>
                </c:pt>
                <c:pt idx="68">
                  <c:v>Dec 17, 2024</c:v>
                </c:pt>
                <c:pt idx="69">
                  <c:v>Dec 16, 2024</c:v>
                </c:pt>
                <c:pt idx="70">
                  <c:v>Dec 13, 2024</c:v>
                </c:pt>
                <c:pt idx="71">
                  <c:v>Dec 12, 2024</c:v>
                </c:pt>
                <c:pt idx="72">
                  <c:v>Dec 11, 2024</c:v>
                </c:pt>
                <c:pt idx="73">
                  <c:v>Dec 10, 2024</c:v>
                </c:pt>
                <c:pt idx="74">
                  <c:v>Dec 9, 2024</c:v>
                </c:pt>
                <c:pt idx="75">
                  <c:v>Dec 6, 2024</c:v>
                </c:pt>
                <c:pt idx="76">
                  <c:v>Dec 5, 2024</c:v>
                </c:pt>
                <c:pt idx="77">
                  <c:v>Dec 4, 2024</c:v>
                </c:pt>
                <c:pt idx="78">
                  <c:v>Dec 3, 2024</c:v>
                </c:pt>
                <c:pt idx="79">
                  <c:v>Dec 2, 2024</c:v>
                </c:pt>
                <c:pt idx="80">
                  <c:v>Nov 29, 2024</c:v>
                </c:pt>
                <c:pt idx="81">
                  <c:v>Nov 27, 2024</c:v>
                </c:pt>
                <c:pt idx="82">
                  <c:v>Nov 26, 2024</c:v>
                </c:pt>
                <c:pt idx="83">
                  <c:v>Nov 25, 2024</c:v>
                </c:pt>
                <c:pt idx="84">
                  <c:v>Nov 22, 2024</c:v>
                </c:pt>
                <c:pt idx="85">
                  <c:v>Nov 21, 2024</c:v>
                </c:pt>
                <c:pt idx="86">
                  <c:v>Nov 20, 2024</c:v>
                </c:pt>
                <c:pt idx="87">
                  <c:v>Nov 19, 2024</c:v>
                </c:pt>
                <c:pt idx="88">
                  <c:v>Nov 18, 2024</c:v>
                </c:pt>
                <c:pt idx="89">
                  <c:v>Nov 15, 2024</c:v>
                </c:pt>
                <c:pt idx="90">
                  <c:v>Nov 14, 2024</c:v>
                </c:pt>
                <c:pt idx="91">
                  <c:v>Nov 13, 2024</c:v>
                </c:pt>
                <c:pt idx="92">
                  <c:v>Nov 12, 2024</c:v>
                </c:pt>
                <c:pt idx="93">
                  <c:v>Nov 11, 2024</c:v>
                </c:pt>
                <c:pt idx="94">
                  <c:v>Nov 8, 2024</c:v>
                </c:pt>
                <c:pt idx="95">
                  <c:v>Nov 7, 2024</c:v>
                </c:pt>
                <c:pt idx="96">
                  <c:v>Nov 6, 2024</c:v>
                </c:pt>
                <c:pt idx="97">
                  <c:v>Nov 5, 2024</c:v>
                </c:pt>
                <c:pt idx="98">
                  <c:v>Nov 4, 2024</c:v>
                </c:pt>
                <c:pt idx="99">
                  <c:v>Nov 1, 2024</c:v>
                </c:pt>
                <c:pt idx="100">
                  <c:v>Oct 31, 2024</c:v>
                </c:pt>
                <c:pt idx="101">
                  <c:v>Oct 30, 2024</c:v>
                </c:pt>
                <c:pt idx="102">
                  <c:v>Oct 29, 2024</c:v>
                </c:pt>
                <c:pt idx="103">
                  <c:v>Oct 28, 2024</c:v>
                </c:pt>
                <c:pt idx="104">
                  <c:v>Oct 25, 2024</c:v>
                </c:pt>
                <c:pt idx="105">
                  <c:v>Oct 24, 2024</c:v>
                </c:pt>
                <c:pt idx="106">
                  <c:v>Oct 23, 2024</c:v>
                </c:pt>
                <c:pt idx="107">
                  <c:v>Oct 22, 2024</c:v>
                </c:pt>
                <c:pt idx="108">
                  <c:v>Oct 21, 2024</c:v>
                </c:pt>
                <c:pt idx="109">
                  <c:v>Oct 18, 2024</c:v>
                </c:pt>
                <c:pt idx="110">
                  <c:v>Oct 17, 2024</c:v>
                </c:pt>
                <c:pt idx="111">
                  <c:v>Oct 16, 2024</c:v>
                </c:pt>
                <c:pt idx="112">
                  <c:v>Oct 15, 2024</c:v>
                </c:pt>
                <c:pt idx="113">
                  <c:v>Oct 14, 2024</c:v>
                </c:pt>
                <c:pt idx="114">
                  <c:v>Oct 11, 2024</c:v>
                </c:pt>
                <c:pt idx="115">
                  <c:v>Oct 10, 2024</c:v>
                </c:pt>
                <c:pt idx="116">
                  <c:v>Oct 9, 2024</c:v>
                </c:pt>
                <c:pt idx="117">
                  <c:v>Oct 8, 2024</c:v>
                </c:pt>
                <c:pt idx="118">
                  <c:v>Oct 7, 2024</c:v>
                </c:pt>
                <c:pt idx="119">
                  <c:v>Oct 4, 2024</c:v>
                </c:pt>
                <c:pt idx="120">
                  <c:v>Oct 3, 2024</c:v>
                </c:pt>
                <c:pt idx="121">
                  <c:v>Oct 2, 2024</c:v>
                </c:pt>
                <c:pt idx="122">
                  <c:v>Oct 1, 2024</c:v>
                </c:pt>
                <c:pt idx="123">
                  <c:v>Sep 30, 2024</c:v>
                </c:pt>
                <c:pt idx="124">
                  <c:v>Sep 27, 2024</c:v>
                </c:pt>
                <c:pt idx="125">
                  <c:v>Sep 26, 2024</c:v>
                </c:pt>
                <c:pt idx="126">
                  <c:v>Sep 25, 2024</c:v>
                </c:pt>
                <c:pt idx="127">
                  <c:v>Sep 24, 2024</c:v>
                </c:pt>
                <c:pt idx="128">
                  <c:v>Sep 23, 2024</c:v>
                </c:pt>
                <c:pt idx="129">
                  <c:v>Sep 20, 2024</c:v>
                </c:pt>
                <c:pt idx="130">
                  <c:v>Sep 19, 2024</c:v>
                </c:pt>
                <c:pt idx="131">
                  <c:v>Sep 18, 2024</c:v>
                </c:pt>
                <c:pt idx="132">
                  <c:v>Sep 17, 2024</c:v>
                </c:pt>
                <c:pt idx="133">
                  <c:v>Sep 16, 2024</c:v>
                </c:pt>
                <c:pt idx="134">
                  <c:v>Sep 13, 2024</c:v>
                </c:pt>
                <c:pt idx="135">
                  <c:v>Sep 12, 2024</c:v>
                </c:pt>
                <c:pt idx="136">
                  <c:v>Sep 11, 2024</c:v>
                </c:pt>
                <c:pt idx="137">
                  <c:v>Sep 10, 2024</c:v>
                </c:pt>
                <c:pt idx="138">
                  <c:v>Sep 9, 2024</c:v>
                </c:pt>
                <c:pt idx="139">
                  <c:v>Sep 6, 2024</c:v>
                </c:pt>
                <c:pt idx="140">
                  <c:v>Sep 5, 2024</c:v>
                </c:pt>
                <c:pt idx="141">
                  <c:v>Sep 4, 2024</c:v>
                </c:pt>
                <c:pt idx="142">
                  <c:v>Sep 3, 2024</c:v>
                </c:pt>
                <c:pt idx="143">
                  <c:v>Aug 30, 2024</c:v>
                </c:pt>
                <c:pt idx="144">
                  <c:v>Aug 29, 2024</c:v>
                </c:pt>
                <c:pt idx="145">
                  <c:v>Aug 28, 2024</c:v>
                </c:pt>
                <c:pt idx="146">
                  <c:v>Aug 27, 2024</c:v>
                </c:pt>
                <c:pt idx="147">
                  <c:v>Aug 26, 2024</c:v>
                </c:pt>
                <c:pt idx="148">
                  <c:v>Aug 23, 2024</c:v>
                </c:pt>
                <c:pt idx="149">
                  <c:v>Aug 22, 2024</c:v>
                </c:pt>
                <c:pt idx="150">
                  <c:v>Aug 21, 2024</c:v>
                </c:pt>
                <c:pt idx="151">
                  <c:v>Aug 20, 2024</c:v>
                </c:pt>
                <c:pt idx="152">
                  <c:v>Aug 19, 2024</c:v>
                </c:pt>
                <c:pt idx="153">
                  <c:v>Aug 16, 2024</c:v>
                </c:pt>
                <c:pt idx="154">
                  <c:v>Aug 15, 2024</c:v>
                </c:pt>
                <c:pt idx="155">
                  <c:v>Aug 14, 2024</c:v>
                </c:pt>
                <c:pt idx="156">
                  <c:v>Aug 13, 2024</c:v>
                </c:pt>
                <c:pt idx="157">
                  <c:v>Aug 12, 2024</c:v>
                </c:pt>
                <c:pt idx="158">
                  <c:v>Aug 9, 2024</c:v>
                </c:pt>
                <c:pt idx="159">
                  <c:v>Aug 8, 2024</c:v>
                </c:pt>
                <c:pt idx="160">
                  <c:v>Aug 7, 2024</c:v>
                </c:pt>
                <c:pt idx="161">
                  <c:v>Aug 6, 2024</c:v>
                </c:pt>
                <c:pt idx="162">
                  <c:v>Aug 5, 2024</c:v>
                </c:pt>
                <c:pt idx="163">
                  <c:v>Aug 2, 2024</c:v>
                </c:pt>
                <c:pt idx="164">
                  <c:v>Aug 1, 2024</c:v>
                </c:pt>
                <c:pt idx="165">
                  <c:v>Jul 31, 2024</c:v>
                </c:pt>
                <c:pt idx="166">
                  <c:v>Jul 30, 2024</c:v>
                </c:pt>
                <c:pt idx="167">
                  <c:v>Jul 29, 2024</c:v>
                </c:pt>
                <c:pt idx="168">
                  <c:v>Jul 26, 2024</c:v>
                </c:pt>
                <c:pt idx="169">
                  <c:v>Jul 25, 2024</c:v>
                </c:pt>
                <c:pt idx="170">
                  <c:v>Jul 24, 2024</c:v>
                </c:pt>
                <c:pt idx="171">
                  <c:v>Jul 23, 2024</c:v>
                </c:pt>
                <c:pt idx="172">
                  <c:v>Jul 22, 2024</c:v>
                </c:pt>
                <c:pt idx="173">
                  <c:v>Jul 19, 2024</c:v>
                </c:pt>
                <c:pt idx="174">
                  <c:v>Jul 18, 2024</c:v>
                </c:pt>
                <c:pt idx="175">
                  <c:v>Jul 17, 2024</c:v>
                </c:pt>
                <c:pt idx="176">
                  <c:v>Jul 16, 2024</c:v>
                </c:pt>
                <c:pt idx="177">
                  <c:v>Jul 15, 2024</c:v>
                </c:pt>
                <c:pt idx="178">
                  <c:v>Jul 12, 2024</c:v>
                </c:pt>
                <c:pt idx="179">
                  <c:v>Jul 11, 2024</c:v>
                </c:pt>
                <c:pt idx="180">
                  <c:v>Jul 10, 2024</c:v>
                </c:pt>
                <c:pt idx="181">
                  <c:v>Jul 9, 2024</c:v>
                </c:pt>
                <c:pt idx="182">
                  <c:v>Jul 8, 2024</c:v>
                </c:pt>
                <c:pt idx="183">
                  <c:v>Jul 5, 2024</c:v>
                </c:pt>
                <c:pt idx="184">
                  <c:v>Jul 3, 2024</c:v>
                </c:pt>
                <c:pt idx="185">
                  <c:v>Jul 2, 2024</c:v>
                </c:pt>
                <c:pt idx="186">
                  <c:v>Jul 1, 2024</c:v>
                </c:pt>
              </c:strCache>
            </c:strRef>
          </c:cat>
          <c:val>
            <c:numRef>
              <c:f>'Stochastic Oscillator'!$G$2:$G$188</c:f>
              <c:numCache>
                <c:formatCode>General</c:formatCode>
                <c:ptCount val="187"/>
                <c:pt idx="0">
                  <c:v>77.817679164350793</c:v>
                </c:pt>
                <c:pt idx="1">
                  <c:v>52.507374631268142</c:v>
                </c:pt>
                <c:pt idx="2">
                  <c:v>26.106194690265369</c:v>
                </c:pt>
                <c:pt idx="3">
                  <c:v>6.1946902654867371</c:v>
                </c:pt>
                <c:pt idx="4">
                  <c:v>11.592480077488581</c:v>
                </c:pt>
                <c:pt idx="5">
                  <c:v>9.5771144278606233</c:v>
                </c:pt>
                <c:pt idx="6">
                  <c:v>12.935323383084446</c:v>
                </c:pt>
                <c:pt idx="7">
                  <c:v>18.034825870646756</c:v>
                </c:pt>
                <c:pt idx="8">
                  <c:v>16.542288557213869</c:v>
                </c:pt>
                <c:pt idx="9">
                  <c:v>13.184079601990044</c:v>
                </c:pt>
                <c:pt idx="10">
                  <c:v>0.62189054726364468</c:v>
                </c:pt>
                <c:pt idx="11">
                  <c:v>14.601769911504315</c:v>
                </c:pt>
                <c:pt idx="12">
                  <c:v>35.250737463126768</c:v>
                </c:pt>
                <c:pt idx="13">
                  <c:v>59.558429770818975</c:v>
                </c:pt>
                <c:pt idx="14">
                  <c:v>60.258804108827256</c:v>
                </c:pt>
                <c:pt idx="15">
                  <c:v>51.305742989953217</c:v>
                </c:pt>
                <c:pt idx="16">
                  <c:v>40.685201520249919</c:v>
                </c:pt>
                <c:pt idx="17">
                  <c:v>58.716390604070654</c:v>
                </c:pt>
                <c:pt idx="18">
                  <c:v>78.999197282110799</c:v>
                </c:pt>
                <c:pt idx="19">
                  <c:v>95.926081531841191</c:v>
                </c:pt>
                <c:pt idx="20">
                  <c:v>93.076019573972545</c:v>
                </c:pt>
                <c:pt idx="21">
                  <c:v>94.430639796517312</c:v>
                </c:pt>
                <c:pt idx="22">
                  <c:v>94.211036263322356</c:v>
                </c:pt>
                <c:pt idx="23">
                  <c:v>97.061098221191003</c:v>
                </c:pt>
                <c:pt idx="24">
                  <c:v>96.925043799422284</c:v>
                </c:pt>
                <c:pt idx="25">
                  <c:v>99.863945578231281</c:v>
                </c:pt>
                <c:pt idx="26">
                  <c:v>97.651556197700373</c:v>
                </c:pt>
                <c:pt idx="27">
                  <c:v>94.872706999346903</c:v>
                </c:pt>
                <c:pt idx="28">
                  <c:v>94.872706999346903</c:v>
                </c:pt>
                <c:pt idx="29">
                  <c:v>97.085096379877811</c:v>
                </c:pt>
                <c:pt idx="30">
                  <c:v>100</c:v>
                </c:pt>
                <c:pt idx="31">
                  <c:v>100</c:v>
                </c:pt>
                <c:pt idx="32">
                  <c:v>97.199999999999989</c:v>
                </c:pt>
                <c:pt idx="33">
                  <c:v>88.133333333333326</c:v>
                </c:pt>
                <c:pt idx="34">
                  <c:v>75.866666666666632</c:v>
                </c:pt>
                <c:pt idx="35">
                  <c:v>60.400000000000013</c:v>
                </c:pt>
                <c:pt idx="36">
                  <c:v>60.266666666666708</c:v>
                </c:pt>
                <c:pt idx="37">
                  <c:v>64.933333333333394</c:v>
                </c:pt>
                <c:pt idx="38">
                  <c:v>83.200000000000031</c:v>
                </c:pt>
                <c:pt idx="39">
                  <c:v>80.049880095923257</c:v>
                </c:pt>
                <c:pt idx="40">
                  <c:v>71.038584414860125</c:v>
                </c:pt>
                <c:pt idx="41">
                  <c:v>71.038584414860125</c:v>
                </c:pt>
                <c:pt idx="42">
                  <c:v>69.632090562323086</c:v>
                </c:pt>
                <c:pt idx="43">
                  <c:v>65.608465608465565</c:v>
                </c:pt>
                <c:pt idx="44">
                  <c:v>49.382716049382644</c:v>
                </c:pt>
                <c:pt idx="45">
                  <c:v>58.024691358024654</c:v>
                </c:pt>
                <c:pt idx="46">
                  <c:v>78.659611992945315</c:v>
                </c:pt>
                <c:pt idx="47">
                  <c:v>88.790123456790141</c:v>
                </c:pt>
                <c:pt idx="48">
                  <c:v>76.413012729844397</c:v>
                </c:pt>
                <c:pt idx="49">
                  <c:v>63.376709099481388</c:v>
                </c:pt>
                <c:pt idx="50">
                  <c:v>50.000000000000057</c:v>
                </c:pt>
                <c:pt idx="51">
                  <c:v>38.448844884488473</c:v>
                </c:pt>
                <c:pt idx="52">
                  <c:v>32.930140304670822</c:v>
                </c:pt>
                <c:pt idx="53">
                  <c:v>19.456351065281751</c:v>
                </c:pt>
                <c:pt idx="54">
                  <c:v>15.165922022377501</c:v>
                </c:pt>
                <c:pt idx="55">
                  <c:v>0.38759689922482116</c:v>
                </c:pt>
                <c:pt idx="56">
                  <c:v>0</c:v>
                </c:pt>
                <c:pt idx="57">
                  <c:v>4.0968342644320108</c:v>
                </c:pt>
                <c:pt idx="58">
                  <c:v>4.0968342644320108</c:v>
                </c:pt>
                <c:pt idx="59">
                  <c:v>5.7060296667308732</c:v>
                </c:pt>
                <c:pt idx="60">
                  <c:v>5.9770114942528449</c:v>
                </c:pt>
                <c:pt idx="61">
                  <c:v>16.551724137931057</c:v>
                </c:pt>
                <c:pt idx="62">
                  <c:v>18.44047112246351</c:v>
                </c:pt>
                <c:pt idx="63">
                  <c:v>21.068539804172161</c:v>
                </c:pt>
                <c:pt idx="64">
                  <c:v>15.432098765432267</c:v>
                </c:pt>
                <c:pt idx="65">
                  <c:v>23.40369042878018</c:v>
                </c:pt>
                <c:pt idx="66">
                  <c:v>37.733970529669485</c:v>
                </c:pt>
                <c:pt idx="67">
                  <c:v>38.888888888888928</c:v>
                </c:pt>
                <c:pt idx="68">
                  <c:v>43.727598566308217</c:v>
                </c:pt>
                <c:pt idx="69">
                  <c:v>51.433691756272367</c:v>
                </c:pt>
                <c:pt idx="70">
                  <c:v>53.046594982078751</c:v>
                </c:pt>
                <c:pt idx="71">
                  <c:v>49.283154121863816</c:v>
                </c:pt>
                <c:pt idx="72">
                  <c:v>28.456024262475989</c:v>
                </c:pt>
                <c:pt idx="73">
                  <c:v>34.857296865270904</c:v>
                </c:pt>
                <c:pt idx="74">
                  <c:v>41.856858506280645</c:v>
                </c:pt>
                <c:pt idx="75">
                  <c:v>44.682905361104439</c:v>
                </c:pt>
                <c:pt idx="76">
                  <c:v>57.194244604316566</c:v>
                </c:pt>
                <c:pt idx="77">
                  <c:v>65.827338129496397</c:v>
                </c:pt>
                <c:pt idx="78">
                  <c:v>88.129496402877677</c:v>
                </c:pt>
                <c:pt idx="79">
                  <c:v>93.515622284780804</c:v>
                </c:pt>
                <c:pt idx="80">
                  <c:v>98.671497584540987</c:v>
                </c:pt>
                <c:pt idx="81">
                  <c:v>98.671497584540987</c:v>
                </c:pt>
                <c:pt idx="82">
                  <c:v>86.647992530345434</c:v>
                </c:pt>
                <c:pt idx="83">
                  <c:v>71.895424836601237</c:v>
                </c:pt>
                <c:pt idx="84">
                  <c:v>50.046685340802945</c:v>
                </c:pt>
                <c:pt idx="85">
                  <c:v>37.815126050420126</c:v>
                </c:pt>
                <c:pt idx="86">
                  <c:v>20.126493419752304</c:v>
                </c:pt>
                <c:pt idx="87">
                  <c:v>8.6418995822172793</c:v>
                </c:pt>
                <c:pt idx="88">
                  <c:v>0.89213300892132563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1.4619883040935664</c:v>
                </c:pt>
                <c:pt idx="93">
                  <c:v>1.4619883040935664</c:v>
                </c:pt>
                <c:pt idx="94">
                  <c:v>1.4619883040935664</c:v>
                </c:pt>
                <c:pt idx="95">
                  <c:v>2.1806853582555017</c:v>
                </c:pt>
                <c:pt idx="96">
                  <c:v>2.7889578643382777</c:v>
                </c:pt>
                <c:pt idx="97">
                  <c:v>2.7889578643382777</c:v>
                </c:pt>
                <c:pt idx="98">
                  <c:v>0.6082725060827765</c:v>
                </c:pt>
                <c:pt idx="99">
                  <c:v>2.3616734143049558</c:v>
                </c:pt>
                <c:pt idx="100">
                  <c:v>2.3616734143049558</c:v>
                </c:pt>
                <c:pt idx="101">
                  <c:v>2.3616734143049558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9.3073593073594179</c:v>
                </c:pt>
                <c:pt idx="106">
                  <c:v>16.583163029863766</c:v>
                </c:pt>
                <c:pt idx="107">
                  <c:v>34.252335962194657</c:v>
                </c:pt>
                <c:pt idx="108">
                  <c:v>35.383885314384578</c:v>
                </c:pt>
                <c:pt idx="109">
                  <c:v>46.376171746091437</c:v>
                </c:pt>
                <c:pt idx="110">
                  <c:v>44.24673784104408</c:v>
                </c:pt>
                <c:pt idx="111">
                  <c:v>49.347568208778263</c:v>
                </c:pt>
                <c:pt idx="112">
                  <c:v>37.603795966785448</c:v>
                </c:pt>
                <c:pt idx="113">
                  <c:v>24.911032028470004</c:v>
                </c:pt>
                <c:pt idx="114">
                  <c:v>15.895610913404873</c:v>
                </c:pt>
                <c:pt idx="115">
                  <c:v>11.387900355872141</c:v>
                </c:pt>
                <c:pt idx="116">
                  <c:v>8.540925266904063</c:v>
                </c:pt>
                <c:pt idx="117">
                  <c:v>2.0166073546856649</c:v>
                </c:pt>
                <c:pt idx="118">
                  <c:v>0</c:v>
                </c:pt>
                <c:pt idx="119">
                  <c:v>8.9041095890410613</c:v>
                </c:pt>
                <c:pt idx="120">
                  <c:v>33.561643835616557</c:v>
                </c:pt>
                <c:pt idx="121">
                  <c:v>61.714796988769628</c:v>
                </c:pt>
                <c:pt idx="122">
                  <c:v>79.387263976305235</c:v>
                </c:pt>
                <c:pt idx="123">
                  <c:v>72.522522522522635</c:v>
                </c:pt>
                <c:pt idx="124">
                  <c:v>63.288288288288491</c:v>
                </c:pt>
                <c:pt idx="125">
                  <c:v>52.927927927927975</c:v>
                </c:pt>
                <c:pt idx="126">
                  <c:v>60.360360360360346</c:v>
                </c:pt>
                <c:pt idx="127">
                  <c:v>59.607226273892913</c:v>
                </c:pt>
                <c:pt idx="128">
                  <c:v>43.743743743743721</c:v>
                </c:pt>
                <c:pt idx="129">
                  <c:v>38.62433862433857</c:v>
                </c:pt>
                <c:pt idx="130">
                  <c:v>41.446208112874665</c:v>
                </c:pt>
                <c:pt idx="131">
                  <c:v>67.195767195767203</c:v>
                </c:pt>
                <c:pt idx="132">
                  <c:v>63.284915643406208</c:v>
                </c:pt>
                <c:pt idx="133">
                  <c:v>57.217896243053531</c:v>
                </c:pt>
                <c:pt idx="134">
                  <c:v>46.948936807427323</c:v>
                </c:pt>
                <c:pt idx="135">
                  <c:v>50.846560846560863</c:v>
                </c:pt>
                <c:pt idx="136">
                  <c:v>58.703703703703695</c:v>
                </c:pt>
                <c:pt idx="137">
                  <c:v>60.721470201165666</c:v>
                </c:pt>
                <c:pt idx="138">
                  <c:v>58.733784545967296</c:v>
                </c:pt>
                <c:pt idx="139">
                  <c:v>65.854523551952241</c:v>
                </c:pt>
                <c:pt idx="140">
                  <c:v>81.336757054490292</c:v>
                </c:pt>
                <c:pt idx="141">
                  <c:v>96.565183450429359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94.819819819820012</c:v>
                </c:pt>
                <c:pt idx="148">
                  <c:v>94.819819819820012</c:v>
                </c:pt>
                <c:pt idx="149">
                  <c:v>94.819819819820012</c:v>
                </c:pt>
                <c:pt idx="150">
                  <c:v>95.538057742782129</c:v>
                </c:pt>
                <c:pt idx="151">
                  <c:v>93.569553805774191</c:v>
                </c:pt>
                <c:pt idx="152">
                  <c:v>84.776902887139002</c:v>
                </c:pt>
                <c:pt idx="153">
                  <c:v>79.658792650918528</c:v>
                </c:pt>
                <c:pt idx="154">
                  <c:v>72.745373912900263</c:v>
                </c:pt>
                <c:pt idx="155">
                  <c:v>70.52353207791225</c:v>
                </c:pt>
                <c:pt idx="156">
                  <c:v>75.11916089533814</c:v>
                </c:pt>
                <c:pt idx="157">
                  <c:v>79.591517053174499</c:v>
                </c:pt>
                <c:pt idx="158">
                  <c:v>84.253244485422428</c:v>
                </c:pt>
                <c:pt idx="159">
                  <c:v>79.895366218236106</c:v>
                </c:pt>
                <c:pt idx="160">
                  <c:v>75.336322869955083</c:v>
                </c:pt>
                <c:pt idx="161">
                  <c:v>81.689088191330328</c:v>
                </c:pt>
                <c:pt idx="162">
                  <c:v>91.031390134529133</c:v>
                </c:pt>
                <c:pt idx="163">
                  <c:v>92.645883293365287</c:v>
                </c:pt>
                <c:pt idx="164">
                  <c:v>92.645883293365287</c:v>
                </c:pt>
                <c:pt idx="165">
                  <c:v>90.870257788926253</c:v>
                </c:pt>
                <c:pt idx="166">
                  <c:v>98.224374495560937</c:v>
                </c:pt>
                <c:pt idx="167">
                  <c:v>98.224374495560937</c:v>
                </c:pt>
                <c:pt idx="168">
                  <c:v>100</c:v>
                </c:pt>
                <c:pt idx="169">
                  <c:v>95.686274509803937</c:v>
                </c:pt>
                <c:pt idx="170">
                  <c:v>89.019607843137294</c:v>
                </c:pt>
                <c:pt idx="171">
                  <c:v>89.019607843137294</c:v>
                </c:pt>
                <c:pt idx="172">
                  <c:v>93.063427800269892</c:v>
                </c:pt>
                <c:pt idx="173">
                  <c:v>99.730094466936521</c:v>
                </c:pt>
                <c:pt idx="174">
                  <c:v>99.730094466936521</c:v>
                </c:pt>
                <c:pt idx="175">
                  <c:v>89.20634920634906</c:v>
                </c:pt>
                <c:pt idx="176">
                  <c:v>87.301587301587077</c:v>
                </c:pt>
                <c:pt idx="177">
                  <c:v>66.666666666666444</c:v>
                </c:pt>
                <c:pt idx="178">
                  <c:v>48.571428571428292</c:v>
                </c:pt>
                <c:pt idx="179">
                  <c:v>17.142857142856936</c:v>
                </c:pt>
                <c:pt idx="180">
                  <c:v>4.4444444444442492</c:v>
                </c:pt>
                <c:pt idx="181">
                  <c:v>33.333333333333336</c:v>
                </c:pt>
                <c:pt idx="182">
                  <c:v>66.666666666666671</c:v>
                </c:pt>
                <c:pt idx="183">
                  <c:v>66.666666666666671</c:v>
                </c:pt>
                <c:pt idx="184">
                  <c:v>50</c:v>
                </c:pt>
                <c:pt idx="18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C9-4BDD-ADCB-49AA89317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338031"/>
        <c:axId val="234340911"/>
      </c:lineChart>
      <c:catAx>
        <c:axId val="234338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340911"/>
        <c:crosses val="autoZero"/>
        <c:auto val="1"/>
        <c:lblAlgn val="ctr"/>
        <c:lblOffset val="100"/>
        <c:noMultiLvlLbl val="0"/>
      </c:catAx>
      <c:valAx>
        <c:axId val="23434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338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MACD Histogram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MACD Histogram</a:t>
          </a:r>
        </a:p>
      </cx:txPr>
    </cx:title>
    <cx:plotArea>
      <cx:plotAreaRegion>
        <cx:series layoutId="clusteredColumn" uniqueId="{9D4E2523-99DE-4CB2-84C0-0267E6788506}">
          <cx:tx>
            <cx:txData>
              <cx:f>_xlchart.v1.0</cx:f>
              <cx:v>MACD Histogram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574674</xdr:colOff>
      <xdr:row>2</xdr:row>
      <xdr:rowOff>22224</xdr:rowOff>
    </xdr:from>
    <xdr:to>
      <xdr:col>21</xdr:col>
      <xdr:colOff>57150</xdr:colOff>
      <xdr:row>26</xdr:row>
      <xdr:rowOff>158749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56527B-E00F-4A46-959E-039383C68E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561974</xdr:colOff>
      <xdr:row>28</xdr:row>
      <xdr:rowOff>174624</xdr:rowOff>
    </xdr:from>
    <xdr:to>
      <xdr:col>21</xdr:col>
      <xdr:colOff>82549</xdr:colOff>
      <xdr:row>53</xdr:row>
      <xdr:rowOff>12699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E14DADB-4F09-D1E1-C3C4-5BEB2C329AE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91674" y="5330824"/>
              <a:ext cx="7445375" cy="4441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22224</xdr:colOff>
      <xdr:row>3</xdr:row>
      <xdr:rowOff>47624</xdr:rowOff>
    </xdr:from>
    <xdr:to>
      <xdr:col>22</xdr:col>
      <xdr:colOff>88899</xdr:colOff>
      <xdr:row>26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4A6C4BF-31F1-3232-E40F-743AADA042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1</xdr:row>
      <xdr:rowOff>158750</xdr:rowOff>
    </xdr:from>
    <xdr:to>
      <xdr:col>18</xdr:col>
      <xdr:colOff>558799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8185E7-E36E-9130-E4E4-56942D472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606424</xdr:colOff>
      <xdr:row>1</xdr:row>
      <xdr:rowOff>177800</xdr:rowOff>
    </xdr:from>
    <xdr:to>
      <xdr:col>18</xdr:col>
      <xdr:colOff>19050</xdr:colOff>
      <xdr:row>22</xdr:row>
      <xdr:rowOff>177799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A58AAE1-E6A1-7F48-BF0A-A7F1C331F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0658CE-6456-4D83-8B39-A53996D29915}" name="Table1" displayName="Table1" ref="A1:C7" totalsRowShown="0">
  <autoFilter ref="A1:C7" xr:uid="{770658CE-6456-4D83-8B39-A53996D29915}"/>
  <tableColumns count="3">
    <tableColumn id="1" xr3:uid="{9BAD29F1-903A-464D-8045-ECCDBCC02244}" name="Parameter" dataDxfId="1"/>
    <tableColumn id="2" xr3:uid="{95BD926C-35A9-4FE4-9D9C-F4A33D9D73CB}" name="Value"/>
    <tableColumn id="3" xr3:uid="{5BB6A074-E8A8-4487-AE98-6B4A6DD3920F}" name="Description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768340-031B-4324-AD86-5A9BA53413AD}" name="Table13" displayName="Table13" ref="A1:C7" totalsRowShown="0">
  <tableColumns count="3">
    <tableColumn id="1" xr3:uid="{ED781F5B-9494-44A7-937E-31F9DECDFA9F}" name="Parameter" dataDxfId="0"/>
    <tableColumn id="2" xr3:uid="{24CC6BED-A8EA-4679-AE71-617113043C1E}" name="Value"/>
    <tableColumn id="3" xr3:uid="{55DAA45F-D9F5-421D-B521-DC8B962CE112}" name="Description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686C6-7431-4386-9A30-F02F2A45ECBE}">
  <sheetPr codeName="Sheet1"/>
  <dimension ref="A1:H188"/>
  <sheetViews>
    <sheetView workbookViewId="0">
      <selection activeCell="H5" sqref="H5"/>
    </sheetView>
  </sheetViews>
  <sheetFormatPr defaultRowHeight="14.5" x14ac:dyDescent="0.35"/>
  <cols>
    <col min="1" max="1" width="14.453125" customWidth="1"/>
    <col min="2" max="2" width="10.7265625" customWidth="1"/>
    <col min="3" max="3" width="15" customWidth="1"/>
    <col min="4" max="4" width="21.453125" customWidth="1"/>
    <col min="5" max="5" width="25.1796875" customWidth="1"/>
    <col min="6" max="6" width="18.26953125" customWidth="1"/>
    <col min="7" max="7" width="30.453125" customWidth="1"/>
    <col min="8" max="8" width="10.36328125" customWidth="1"/>
    <col min="10" max="10" width="16.54296875" customWidth="1"/>
    <col min="11" max="11" width="15.26953125" customWidth="1"/>
    <col min="12" max="12" width="25.08984375" customWidth="1"/>
    <col min="13" max="13" width="10.453125" customWidth="1"/>
  </cols>
  <sheetData>
    <row r="1" spans="1:8" x14ac:dyDescent="0.35">
      <c r="A1" t="s">
        <v>0</v>
      </c>
      <c r="B1" t="s">
        <v>1</v>
      </c>
      <c r="C1" t="s">
        <v>192</v>
      </c>
      <c r="D1" t="s">
        <v>194</v>
      </c>
      <c r="E1" t="s">
        <v>195</v>
      </c>
    </row>
    <row r="2" spans="1:8" x14ac:dyDescent="0.35">
      <c r="A2" t="s">
        <v>2</v>
      </c>
      <c r="B2">
        <v>70.37</v>
      </c>
      <c r="C2">
        <v>5580.94</v>
      </c>
      <c r="D2">
        <f>LN(B2/B3)</f>
        <v>-5.2441477988769145E-3</v>
      </c>
      <c r="E2">
        <f>LN(C2/C3)</f>
        <v>-1.9934580336265845E-2</v>
      </c>
      <c r="G2" t="s">
        <v>189</v>
      </c>
      <c r="H2">
        <f>AVERAGE(D2:D187)</f>
        <v>6.8776240159670573E-4</v>
      </c>
    </row>
    <row r="3" spans="1:8" x14ac:dyDescent="0.35">
      <c r="A3" t="s">
        <v>3</v>
      </c>
      <c r="B3">
        <v>70.739999999999995</v>
      </c>
      <c r="C3">
        <v>5693.31</v>
      </c>
      <c r="D3">
        <f t="shared" ref="D3:D66" si="0">LN(B3/B4)</f>
        <v>1.0230268250814823E-2</v>
      </c>
      <c r="E3">
        <f t="shared" ref="E3:E66" si="1">LN(C3/C4)</f>
        <v>-3.3124371066493626E-3</v>
      </c>
      <c r="G3" t="s">
        <v>196</v>
      </c>
      <c r="H3">
        <f>STDEV(D2:D187)</f>
        <v>1.0249730321991652E-2</v>
      </c>
    </row>
    <row r="4" spans="1:8" x14ac:dyDescent="0.35">
      <c r="A4" t="s">
        <v>4</v>
      </c>
      <c r="B4">
        <v>70.02</v>
      </c>
      <c r="C4">
        <v>5712.2</v>
      </c>
      <c r="D4">
        <f t="shared" si="0"/>
        <v>1.74318323121311E-2</v>
      </c>
      <c r="E4">
        <f t="shared" si="1"/>
        <v>-1.1219691455108281E-2</v>
      </c>
      <c r="G4" t="s">
        <v>190</v>
      </c>
      <c r="H4">
        <f>(1+AVERAGE(D2:D187))^252-1</f>
        <v>0.18917115061523981</v>
      </c>
    </row>
    <row r="5" spans="1:8" x14ac:dyDescent="0.35">
      <c r="A5" t="s">
        <v>5</v>
      </c>
      <c r="B5">
        <v>68.81</v>
      </c>
      <c r="C5">
        <v>5776.65</v>
      </c>
      <c r="D5">
        <f t="shared" si="0"/>
        <v>-2.0325210249223578E-3</v>
      </c>
      <c r="E5">
        <f t="shared" si="1"/>
        <v>1.5730819184730236E-3</v>
      </c>
      <c r="G5" t="s">
        <v>191</v>
      </c>
      <c r="H5">
        <f>STDEV(D2:D187)*SQRT(252)</f>
        <v>0.16270942462480742</v>
      </c>
    </row>
    <row r="6" spans="1:8" x14ac:dyDescent="0.35">
      <c r="A6" t="s">
        <v>6</v>
      </c>
      <c r="B6">
        <v>68.95</v>
      </c>
      <c r="C6">
        <v>5767.57</v>
      </c>
      <c r="D6">
        <f t="shared" si="0"/>
        <v>4.0691816067257493E-3</v>
      </c>
      <c r="E6">
        <f t="shared" si="1"/>
        <v>1.7492157944606672E-2</v>
      </c>
    </row>
    <row r="7" spans="1:8" x14ac:dyDescent="0.35">
      <c r="A7" t="s">
        <v>7</v>
      </c>
      <c r="B7">
        <v>68.67</v>
      </c>
      <c r="C7">
        <v>5667.56</v>
      </c>
      <c r="D7">
        <f t="shared" si="0"/>
        <v>-1.5031356865722214E-2</v>
      </c>
      <c r="E7">
        <f t="shared" si="1"/>
        <v>8.2432741231720308E-4</v>
      </c>
      <c r="G7" t="s">
        <v>198</v>
      </c>
      <c r="H7">
        <f>_xlfn.STDEV.S(D2:D187)</f>
        <v>1.0249730321991652E-2</v>
      </c>
    </row>
    <row r="8" spans="1:8" x14ac:dyDescent="0.35">
      <c r="A8" t="s">
        <v>8</v>
      </c>
      <c r="B8">
        <v>69.709999999999994</v>
      </c>
      <c r="C8">
        <v>5662.89</v>
      </c>
      <c r="D8">
        <f t="shared" si="0"/>
        <v>6.1875152441275838E-3</v>
      </c>
      <c r="E8">
        <f t="shared" si="1"/>
        <v>-2.1873007738032347E-3</v>
      </c>
      <c r="G8" t="s">
        <v>199</v>
      </c>
      <c r="H8">
        <f>_xlfn.COVARIANCE.S(D2:D187, E2:E187)</f>
        <v>-4.6869209232366455E-6</v>
      </c>
    </row>
    <row r="9" spans="1:8" x14ac:dyDescent="0.35">
      <c r="A9" t="s">
        <v>9</v>
      </c>
      <c r="B9">
        <v>69.28</v>
      </c>
      <c r="C9">
        <v>5675.29</v>
      </c>
      <c r="D9">
        <f t="shared" si="0"/>
        <v>-1.4423772874238385E-3</v>
      </c>
      <c r="E9">
        <f t="shared" si="1"/>
        <v>1.0740629118978858E-2</v>
      </c>
      <c r="G9" s="1" t="s">
        <v>200</v>
      </c>
      <c r="H9">
        <f>_xlfn.VAR.S(E2:E187)</f>
        <v>9.0379567585485376E-5</v>
      </c>
    </row>
    <row r="10" spans="1:8" x14ac:dyDescent="0.35">
      <c r="A10" t="s">
        <v>10</v>
      </c>
      <c r="B10">
        <v>69.38</v>
      </c>
      <c r="C10">
        <v>5614.66</v>
      </c>
      <c r="D10">
        <f t="shared" si="0"/>
        <v>-1.0609418511430276E-2</v>
      </c>
      <c r="E10">
        <f t="shared" si="1"/>
        <v>-1.071067425391002E-2</v>
      </c>
      <c r="G10" t="s">
        <v>201</v>
      </c>
      <c r="H10">
        <f>H8/H9</f>
        <v>-5.1858191496695627E-2</v>
      </c>
    </row>
    <row r="11" spans="1:8" x14ac:dyDescent="0.35">
      <c r="A11" t="s">
        <v>11</v>
      </c>
      <c r="B11">
        <v>70.12</v>
      </c>
      <c r="C11">
        <v>5675.12</v>
      </c>
      <c r="D11">
        <f t="shared" si="0"/>
        <v>1.3785399237944064E-2</v>
      </c>
      <c r="E11">
        <f t="shared" si="1"/>
        <v>6.3956039343475201E-3</v>
      </c>
    </row>
    <row r="12" spans="1:8" x14ac:dyDescent="0.35">
      <c r="A12" t="s">
        <v>12</v>
      </c>
      <c r="B12">
        <v>69.16</v>
      </c>
      <c r="C12">
        <v>5638.94</v>
      </c>
      <c r="D12">
        <f t="shared" si="0"/>
        <v>7.2322271178681431E-4</v>
      </c>
      <c r="E12">
        <f t="shared" si="1"/>
        <v>2.1042919881408308E-2</v>
      </c>
      <c r="G12" t="s">
        <v>197</v>
      </c>
      <c r="H12">
        <f>-1.645*H7*B2</f>
        <v>-1.186494944937819</v>
      </c>
    </row>
    <row r="13" spans="1:8" x14ac:dyDescent="0.35">
      <c r="A13" t="s">
        <v>13</v>
      </c>
      <c r="B13">
        <v>69.11</v>
      </c>
      <c r="C13">
        <v>5521.52</v>
      </c>
      <c r="D13">
        <f t="shared" si="0"/>
        <v>-4.6196126618791101E-3</v>
      </c>
      <c r="E13">
        <f t="shared" si="1"/>
        <v>-1.3988405225352909E-2</v>
      </c>
      <c r="G13" t="s">
        <v>193</v>
      </c>
      <c r="H13">
        <f>_xlfn.COVARIANCE.S(D2:D187, E2:E187)/H9</f>
        <v>-5.1858191496695627E-2</v>
      </c>
    </row>
    <row r="14" spans="1:8" x14ac:dyDescent="0.35">
      <c r="A14" t="s">
        <v>14</v>
      </c>
      <c r="B14">
        <v>69.430000000000007</v>
      </c>
      <c r="C14">
        <v>5599.3</v>
      </c>
      <c r="D14">
        <f t="shared" si="0"/>
        <v>-1.5577306764487309E-2</v>
      </c>
      <c r="E14">
        <f t="shared" si="1"/>
        <v>4.8749712752344252E-3</v>
      </c>
    </row>
    <row r="15" spans="1:8" x14ac:dyDescent="0.35">
      <c r="A15" t="s">
        <v>15</v>
      </c>
      <c r="B15">
        <v>70.52</v>
      </c>
      <c r="C15">
        <v>5572.07</v>
      </c>
      <c r="D15">
        <f t="shared" si="0"/>
        <v>-5.797117684326069E-3</v>
      </c>
      <c r="E15">
        <f t="shared" si="1"/>
        <v>-7.596604935651537E-3</v>
      </c>
    </row>
    <row r="16" spans="1:8" x14ac:dyDescent="0.35">
      <c r="A16" t="s">
        <v>16</v>
      </c>
      <c r="B16">
        <v>70.930000000000007</v>
      </c>
      <c r="C16">
        <v>5614.56</v>
      </c>
      <c r="D16">
        <f t="shared" si="0"/>
        <v>2.8200789809016433E-4</v>
      </c>
      <c r="E16">
        <f t="shared" si="1"/>
        <v>-2.7343518375984407E-2</v>
      </c>
    </row>
    <row r="17" spans="1:5" x14ac:dyDescent="0.35">
      <c r="A17" t="s">
        <v>17</v>
      </c>
      <c r="B17">
        <v>70.91</v>
      </c>
      <c r="C17">
        <v>5770.2</v>
      </c>
      <c r="D17">
        <f t="shared" si="0"/>
        <v>1.3773735680675607E-2</v>
      </c>
      <c r="E17">
        <f t="shared" si="1"/>
        <v>5.5054046005090125E-3</v>
      </c>
    </row>
    <row r="18" spans="1:5" x14ac:dyDescent="0.35">
      <c r="A18" t="s">
        <v>18</v>
      </c>
      <c r="B18">
        <v>69.94</v>
      </c>
      <c r="C18">
        <v>5738.52</v>
      </c>
      <c r="D18">
        <f t="shared" si="0"/>
        <v>5.3042916996799763E-3</v>
      </c>
      <c r="E18">
        <f t="shared" si="1"/>
        <v>-1.7979700568310077E-2</v>
      </c>
    </row>
    <row r="19" spans="1:5" x14ac:dyDescent="0.35">
      <c r="A19" t="s">
        <v>19</v>
      </c>
      <c r="B19">
        <v>69.569999999999993</v>
      </c>
      <c r="C19">
        <v>5842.63</v>
      </c>
      <c r="D19">
        <f t="shared" si="0"/>
        <v>-1.579892608697613E-3</v>
      </c>
      <c r="E19">
        <f t="shared" si="1"/>
        <v>1.1097475685101249E-2</v>
      </c>
    </row>
    <row r="20" spans="1:5" x14ac:dyDescent="0.35">
      <c r="A20" t="s">
        <v>20</v>
      </c>
      <c r="B20">
        <v>69.680000000000007</v>
      </c>
      <c r="C20">
        <v>5778.15</v>
      </c>
      <c r="D20">
        <f t="shared" si="0"/>
        <v>-2.9831858044144288E-2</v>
      </c>
      <c r="E20">
        <f t="shared" si="1"/>
        <v>-1.2310234603366469E-2</v>
      </c>
    </row>
    <row r="21" spans="1:5" x14ac:dyDescent="0.35">
      <c r="A21" t="s">
        <v>21</v>
      </c>
      <c r="B21">
        <v>71.790000000000006</v>
      </c>
      <c r="C21">
        <v>5849.72</v>
      </c>
      <c r="D21">
        <f t="shared" si="0"/>
        <v>1.5441070405529084E-2</v>
      </c>
      <c r="E21">
        <f t="shared" si="1"/>
        <v>-1.7753439375493379E-2</v>
      </c>
    </row>
    <row r="22" spans="1:5" x14ac:dyDescent="0.35">
      <c r="A22" t="s">
        <v>22</v>
      </c>
      <c r="B22">
        <v>70.69</v>
      </c>
      <c r="C22">
        <v>5954.5</v>
      </c>
      <c r="D22">
        <f t="shared" si="0"/>
        <v>4.8213366224647107E-3</v>
      </c>
      <c r="E22">
        <f t="shared" si="1"/>
        <v>1.5729750431897126E-2</v>
      </c>
    </row>
    <row r="23" spans="1:5" x14ac:dyDescent="0.35">
      <c r="A23" t="s">
        <v>23</v>
      </c>
      <c r="B23">
        <v>70.349999999999994</v>
      </c>
      <c r="C23">
        <v>5861.57</v>
      </c>
      <c r="D23">
        <f t="shared" si="0"/>
        <v>9.9552024150161966E-4</v>
      </c>
      <c r="E23">
        <f t="shared" si="1"/>
        <v>-1.5991702852089028E-2</v>
      </c>
    </row>
    <row r="24" spans="1:5" x14ac:dyDescent="0.35">
      <c r="A24" t="s">
        <v>24</v>
      </c>
      <c r="B24">
        <v>70.28</v>
      </c>
      <c r="C24">
        <v>5956.06</v>
      </c>
      <c r="D24">
        <f t="shared" si="0"/>
        <v>-9.7699892179950714E-3</v>
      </c>
      <c r="E24">
        <f t="shared" si="1"/>
        <v>1.3600519191397061E-4</v>
      </c>
    </row>
    <row r="25" spans="1:5" x14ac:dyDescent="0.35">
      <c r="A25" t="s">
        <v>25</v>
      </c>
      <c r="B25">
        <v>70.97</v>
      </c>
      <c r="C25">
        <v>5955.25</v>
      </c>
      <c r="D25">
        <f t="shared" si="0"/>
        <v>1.2762510154449128E-2</v>
      </c>
      <c r="E25">
        <f t="shared" si="1"/>
        <v>-4.690715138395557E-3</v>
      </c>
    </row>
    <row r="26" spans="1:5" x14ac:dyDescent="0.35">
      <c r="A26" t="s">
        <v>26</v>
      </c>
      <c r="B26">
        <v>70.069999999999993</v>
      </c>
      <c r="C26">
        <v>5983.25</v>
      </c>
      <c r="D26">
        <f t="shared" si="0"/>
        <v>-1.0787897383088826E-2</v>
      </c>
      <c r="E26">
        <f t="shared" si="1"/>
        <v>-4.9815130548550111E-3</v>
      </c>
    </row>
    <row r="27" spans="1:5" x14ac:dyDescent="0.35">
      <c r="A27" t="s">
        <v>27</v>
      </c>
      <c r="B27">
        <v>70.83</v>
      </c>
      <c r="C27">
        <v>6013.13</v>
      </c>
      <c r="D27">
        <f t="shared" si="0"/>
        <v>1.8524325654604643E-2</v>
      </c>
      <c r="E27">
        <f t="shared" si="1"/>
        <v>-1.7211373991262081E-2</v>
      </c>
    </row>
    <row r="28" spans="1:5" x14ac:dyDescent="0.35">
      <c r="A28" t="s">
        <v>28</v>
      </c>
      <c r="B28">
        <v>69.53</v>
      </c>
      <c r="C28">
        <v>6117.52</v>
      </c>
      <c r="D28">
        <f t="shared" si="0"/>
        <v>-4.3137537515581495E-4</v>
      </c>
      <c r="E28">
        <f t="shared" si="1"/>
        <v>-4.3436239711486854E-3</v>
      </c>
    </row>
    <row r="29" spans="1:5" x14ac:dyDescent="0.35">
      <c r="A29" t="s">
        <v>29</v>
      </c>
      <c r="B29">
        <v>69.56</v>
      </c>
      <c r="C29">
        <v>6144.15</v>
      </c>
      <c r="D29">
        <f t="shared" si="0"/>
        <v>1.4772173039619483E-2</v>
      </c>
      <c r="E29">
        <f t="shared" si="1"/>
        <v>2.3741775065794562E-3</v>
      </c>
    </row>
    <row r="30" spans="1:5" x14ac:dyDescent="0.35">
      <c r="A30" t="s">
        <v>30</v>
      </c>
      <c r="B30">
        <v>68.540000000000006</v>
      </c>
      <c r="C30">
        <v>6129.58</v>
      </c>
      <c r="D30">
        <f t="shared" si="0"/>
        <v>2.4833845207602842E-3</v>
      </c>
      <c r="E30">
        <f t="shared" si="1"/>
        <v>2.4419717448794743E-3</v>
      </c>
    </row>
    <row r="31" spans="1:5" x14ac:dyDescent="0.35">
      <c r="A31" t="s">
        <v>31</v>
      </c>
      <c r="B31">
        <v>68.37</v>
      </c>
      <c r="C31">
        <v>6114.63</v>
      </c>
      <c r="D31">
        <f t="shared" si="0"/>
        <v>-9.0274346323146529E-3</v>
      </c>
      <c r="E31">
        <f t="shared" si="1"/>
        <v>-7.1955976056534599E-5</v>
      </c>
    </row>
    <row r="32" spans="1:5" x14ac:dyDescent="0.35">
      <c r="A32" t="s">
        <v>32</v>
      </c>
      <c r="B32">
        <v>68.989999999999995</v>
      </c>
      <c r="C32">
        <v>6115.07</v>
      </c>
      <c r="D32">
        <f t="shared" si="0"/>
        <v>1.1370384891389338E-2</v>
      </c>
      <c r="E32">
        <f t="shared" si="1"/>
        <v>1.0372377459622351E-2</v>
      </c>
    </row>
    <row r="33" spans="1:5" x14ac:dyDescent="0.35">
      <c r="A33" t="s">
        <v>33</v>
      </c>
      <c r="B33">
        <v>68.209999999999994</v>
      </c>
      <c r="C33">
        <v>6051.97</v>
      </c>
      <c r="D33">
        <f t="shared" si="0"/>
        <v>1.6407137688991772E-2</v>
      </c>
      <c r="E33">
        <f t="shared" si="1"/>
        <v>-2.7276186894511618E-3</v>
      </c>
    </row>
    <row r="34" spans="1:5" x14ac:dyDescent="0.35">
      <c r="A34" t="s">
        <v>34</v>
      </c>
      <c r="B34">
        <v>67.099999999999994</v>
      </c>
      <c r="C34">
        <v>6068.5</v>
      </c>
      <c r="D34">
        <f t="shared" si="0"/>
        <v>4.6051741217532173E-2</v>
      </c>
      <c r="E34">
        <f t="shared" si="1"/>
        <v>3.3951548500248807E-4</v>
      </c>
    </row>
    <row r="35" spans="1:5" x14ac:dyDescent="0.35">
      <c r="A35" t="s">
        <v>35</v>
      </c>
      <c r="B35">
        <v>64.08</v>
      </c>
      <c r="C35">
        <v>6066.44</v>
      </c>
      <c r="D35">
        <f t="shared" si="0"/>
        <v>1.1141739424678191E-2</v>
      </c>
      <c r="E35">
        <f t="shared" si="1"/>
        <v>6.6901608481496353E-3</v>
      </c>
    </row>
    <row r="36" spans="1:5" x14ac:dyDescent="0.35">
      <c r="A36" t="s">
        <v>36</v>
      </c>
      <c r="B36">
        <v>63.37</v>
      </c>
      <c r="C36">
        <v>6025.99</v>
      </c>
      <c r="D36">
        <f t="shared" si="0"/>
        <v>7.4443996290306331E-3</v>
      </c>
      <c r="E36">
        <f t="shared" si="1"/>
        <v>-9.5099134821077444E-3</v>
      </c>
    </row>
    <row r="37" spans="1:5" x14ac:dyDescent="0.35">
      <c r="A37" t="s">
        <v>37</v>
      </c>
      <c r="B37">
        <v>62.9</v>
      </c>
      <c r="C37">
        <v>6083.57</v>
      </c>
      <c r="D37">
        <f t="shared" si="0"/>
        <v>3.822878182349154E-3</v>
      </c>
      <c r="E37">
        <f t="shared" si="1"/>
        <v>3.637700027498819E-3</v>
      </c>
    </row>
    <row r="38" spans="1:5" x14ac:dyDescent="0.35">
      <c r="A38" t="s">
        <v>38</v>
      </c>
      <c r="B38">
        <v>62.66</v>
      </c>
      <c r="C38">
        <v>6061.48</v>
      </c>
      <c r="D38">
        <f t="shared" si="0"/>
        <v>7.207526997117155E-3</v>
      </c>
      <c r="E38">
        <f t="shared" si="1"/>
        <v>3.9010377290886913E-3</v>
      </c>
    </row>
    <row r="39" spans="1:5" x14ac:dyDescent="0.35">
      <c r="A39" t="s">
        <v>39</v>
      </c>
      <c r="B39">
        <v>62.21</v>
      </c>
      <c r="C39">
        <v>6037.88</v>
      </c>
      <c r="D39">
        <f t="shared" si="0"/>
        <v>-1.0871410028483557E-2</v>
      </c>
      <c r="E39">
        <f t="shared" si="1"/>
        <v>7.1988974883324779E-3</v>
      </c>
    </row>
    <row r="40" spans="1:5" x14ac:dyDescent="0.35">
      <c r="A40" t="s">
        <v>40</v>
      </c>
      <c r="B40">
        <v>62.89</v>
      </c>
      <c r="C40">
        <v>5994.57</v>
      </c>
      <c r="D40">
        <f t="shared" si="0"/>
        <v>-1.9062753985520928E-3</v>
      </c>
      <c r="E40">
        <f t="shared" si="1"/>
        <v>-7.637696973119063E-3</v>
      </c>
    </row>
    <row r="41" spans="1:5" x14ac:dyDescent="0.35">
      <c r="A41" t="s">
        <v>41</v>
      </c>
      <c r="B41">
        <v>63.01</v>
      </c>
      <c r="C41">
        <v>6040.53</v>
      </c>
      <c r="D41">
        <f t="shared" si="0"/>
        <v>-9.0055115286925367E-3</v>
      </c>
      <c r="E41">
        <f t="shared" si="1"/>
        <v>-5.0595812914254659E-3</v>
      </c>
    </row>
    <row r="42" spans="1:5" x14ac:dyDescent="0.35">
      <c r="A42" t="s">
        <v>42</v>
      </c>
      <c r="B42">
        <v>63.58</v>
      </c>
      <c r="C42">
        <v>6071.17</v>
      </c>
      <c r="D42">
        <f t="shared" si="0"/>
        <v>1.9214564944625454E-2</v>
      </c>
      <c r="E42">
        <f t="shared" si="1"/>
        <v>5.2615707224356184E-3</v>
      </c>
    </row>
    <row r="43" spans="1:5" x14ac:dyDescent="0.35">
      <c r="A43" t="s">
        <v>43</v>
      </c>
      <c r="B43">
        <v>62.37</v>
      </c>
      <c r="C43">
        <v>6039.31</v>
      </c>
      <c r="D43">
        <f t="shared" si="0"/>
        <v>7.5642108474808616E-3</v>
      </c>
      <c r="E43">
        <f t="shared" si="1"/>
        <v>-4.6898535700948913E-3</v>
      </c>
    </row>
    <row r="44" spans="1:5" x14ac:dyDescent="0.35">
      <c r="A44" t="s">
        <v>44</v>
      </c>
      <c r="B44">
        <v>61.9</v>
      </c>
      <c r="C44">
        <v>6067.7</v>
      </c>
      <c r="D44">
        <f t="shared" si="0"/>
        <v>-2.3943681752629783E-2</v>
      </c>
      <c r="E44">
        <f t="shared" si="1"/>
        <v>9.1755762546756169E-3</v>
      </c>
    </row>
    <row r="45" spans="1:5" x14ac:dyDescent="0.35">
      <c r="A45" t="s">
        <v>45</v>
      </c>
      <c r="B45">
        <v>63.4</v>
      </c>
      <c r="C45">
        <v>6012.28</v>
      </c>
      <c r="D45">
        <f t="shared" si="0"/>
        <v>3.0914610524262226E-2</v>
      </c>
      <c r="E45">
        <f t="shared" si="1"/>
        <v>-1.4687984883634318E-2</v>
      </c>
    </row>
    <row r="46" spans="1:5" x14ac:dyDescent="0.35">
      <c r="A46" t="s">
        <v>46</v>
      </c>
      <c r="B46">
        <v>61.47</v>
      </c>
      <c r="C46">
        <v>6101.24</v>
      </c>
      <c r="D46">
        <f t="shared" si="0"/>
        <v>6.3647705684864815E-3</v>
      </c>
      <c r="E46">
        <f t="shared" si="1"/>
        <v>-2.8592607828964826E-3</v>
      </c>
    </row>
    <row r="47" spans="1:5" x14ac:dyDescent="0.35">
      <c r="A47" t="s">
        <v>47</v>
      </c>
      <c r="B47">
        <v>61.08</v>
      </c>
      <c r="C47">
        <v>6118.71</v>
      </c>
      <c r="D47">
        <f t="shared" si="0"/>
        <v>-4.0846392874607082E-3</v>
      </c>
      <c r="E47">
        <f t="shared" si="1"/>
        <v>5.2994450977238887E-3</v>
      </c>
    </row>
    <row r="48" spans="1:5" x14ac:dyDescent="0.35">
      <c r="A48" t="s">
        <v>48</v>
      </c>
      <c r="B48">
        <v>61.33</v>
      </c>
      <c r="C48">
        <v>6086.37</v>
      </c>
      <c r="D48">
        <f t="shared" si="0"/>
        <v>-1.0219895910775529E-2</v>
      </c>
      <c r="E48">
        <f t="shared" si="1"/>
        <v>6.1192005774427091E-3</v>
      </c>
    </row>
    <row r="49" spans="1:5" x14ac:dyDescent="0.35">
      <c r="A49" t="s">
        <v>49</v>
      </c>
      <c r="B49">
        <v>61.96</v>
      </c>
      <c r="C49">
        <v>6049.24</v>
      </c>
      <c r="D49">
        <f t="shared" si="0"/>
        <v>-4.6695197961491323E-3</v>
      </c>
      <c r="E49">
        <f t="shared" si="1"/>
        <v>8.7299967522312897E-3</v>
      </c>
    </row>
    <row r="50" spans="1:5" x14ac:dyDescent="0.35">
      <c r="A50" t="s">
        <v>50</v>
      </c>
      <c r="B50">
        <v>62.25</v>
      </c>
      <c r="C50">
        <v>5996.66</v>
      </c>
      <c r="D50">
        <f t="shared" si="0"/>
        <v>7.4169962719287282E-3</v>
      </c>
      <c r="E50">
        <f t="shared" si="1"/>
        <v>9.9414259357241096E-3</v>
      </c>
    </row>
    <row r="51" spans="1:5" x14ac:dyDescent="0.35">
      <c r="A51" t="s">
        <v>51</v>
      </c>
      <c r="B51">
        <v>61.79</v>
      </c>
      <c r="C51">
        <v>5937.34</v>
      </c>
      <c r="D51">
        <f t="shared" si="0"/>
        <v>7.6354850692747379E-3</v>
      </c>
      <c r="E51">
        <f t="shared" si="1"/>
        <v>-2.1148717634665781E-3</v>
      </c>
    </row>
    <row r="52" spans="1:5" x14ac:dyDescent="0.35">
      <c r="A52" t="s">
        <v>52</v>
      </c>
      <c r="B52">
        <v>61.32</v>
      </c>
      <c r="C52">
        <v>5949.91</v>
      </c>
      <c r="D52">
        <f t="shared" si="0"/>
        <v>-4.3934656953385377E-3</v>
      </c>
      <c r="E52">
        <f t="shared" si="1"/>
        <v>1.8147132985426716E-2</v>
      </c>
    </row>
    <row r="53" spans="1:5" x14ac:dyDescent="0.35">
      <c r="A53" t="s">
        <v>53</v>
      </c>
      <c r="B53">
        <v>61.59</v>
      </c>
      <c r="C53">
        <v>5842.91</v>
      </c>
      <c r="D53">
        <f t="shared" si="0"/>
        <v>6.3523301806714741E-3</v>
      </c>
      <c r="E53">
        <f t="shared" si="1"/>
        <v>1.1456334044923633E-3</v>
      </c>
    </row>
    <row r="54" spans="1:5" x14ac:dyDescent="0.35">
      <c r="A54" t="s">
        <v>54</v>
      </c>
      <c r="B54">
        <v>61.2</v>
      </c>
      <c r="C54">
        <v>5836.22</v>
      </c>
      <c r="D54">
        <f t="shared" si="0"/>
        <v>9.5223178886234376E-3</v>
      </c>
      <c r="E54">
        <f t="shared" si="1"/>
        <v>1.5741742695762329E-3</v>
      </c>
    </row>
    <row r="55" spans="1:5" x14ac:dyDescent="0.35">
      <c r="A55" t="s">
        <v>55</v>
      </c>
      <c r="B55">
        <v>60.62</v>
      </c>
      <c r="C55">
        <v>5827.04</v>
      </c>
      <c r="D55">
        <f t="shared" si="0"/>
        <v>-1.0502229774972135E-2</v>
      </c>
      <c r="E55">
        <f t="shared" si="1"/>
        <v>-1.5531644353894208E-2</v>
      </c>
    </row>
    <row r="56" spans="1:5" x14ac:dyDescent="0.35">
      <c r="A56" t="s">
        <v>56</v>
      </c>
      <c r="B56">
        <v>61.26</v>
      </c>
      <c r="C56">
        <v>5918.25</v>
      </c>
      <c r="D56">
        <f t="shared" si="0"/>
        <v>1.4303573084819436E-2</v>
      </c>
      <c r="E56">
        <f t="shared" si="1"/>
        <v>1.559107735282887E-3</v>
      </c>
    </row>
    <row r="57" spans="1:5" x14ac:dyDescent="0.35">
      <c r="A57" t="s">
        <v>57</v>
      </c>
      <c r="B57">
        <v>60.39</v>
      </c>
      <c r="C57">
        <v>5909.03</v>
      </c>
      <c r="D57">
        <f t="shared" si="0"/>
        <v>4.968944201617485E-4</v>
      </c>
      <c r="E57">
        <f t="shared" si="1"/>
        <v>-1.116600476981219E-2</v>
      </c>
    </row>
    <row r="58" spans="1:5" x14ac:dyDescent="0.35">
      <c r="A58" t="s">
        <v>58</v>
      </c>
      <c r="B58">
        <v>60.36</v>
      </c>
      <c r="C58">
        <v>5975.38</v>
      </c>
      <c r="D58">
        <f t="shared" si="0"/>
        <v>-1.5453209042517551E-2</v>
      </c>
      <c r="E58">
        <f t="shared" si="1"/>
        <v>5.5228222624888485E-3</v>
      </c>
    </row>
    <row r="59" spans="1:5" x14ac:dyDescent="0.35">
      <c r="A59" t="s">
        <v>59</v>
      </c>
      <c r="B59">
        <v>61.3</v>
      </c>
      <c r="C59">
        <v>5942.47</v>
      </c>
      <c r="D59">
        <f t="shared" si="0"/>
        <v>-1.4671124972393467E-3</v>
      </c>
      <c r="E59">
        <f t="shared" si="1"/>
        <v>1.2517287272659085E-2</v>
      </c>
    </row>
    <row r="60" spans="1:5" x14ac:dyDescent="0.35">
      <c r="A60" t="s">
        <v>60</v>
      </c>
      <c r="B60">
        <v>61.39</v>
      </c>
      <c r="C60">
        <v>5868.55</v>
      </c>
      <c r="D60">
        <f t="shared" si="0"/>
        <v>-6.6564090242400027E-3</v>
      </c>
      <c r="E60">
        <f t="shared" si="1"/>
        <v>-2.2263497925529528E-3</v>
      </c>
    </row>
    <row r="61" spans="1:5" x14ac:dyDescent="0.35">
      <c r="A61" t="s">
        <v>61</v>
      </c>
      <c r="B61">
        <v>61.8</v>
      </c>
      <c r="C61">
        <v>5881.63</v>
      </c>
      <c r="D61">
        <f t="shared" si="0"/>
        <v>3.5662219672907905E-3</v>
      </c>
      <c r="E61">
        <f t="shared" si="1"/>
        <v>-4.2939964541344501E-3</v>
      </c>
    </row>
    <row r="62" spans="1:5" x14ac:dyDescent="0.35">
      <c r="A62" t="s">
        <v>62</v>
      </c>
      <c r="B62">
        <v>61.58</v>
      </c>
      <c r="C62">
        <v>5906.94</v>
      </c>
      <c r="D62">
        <f t="shared" si="0"/>
        <v>-6.6359392174738232E-3</v>
      </c>
      <c r="E62">
        <f t="shared" si="1"/>
        <v>-1.0759690191101295E-2</v>
      </c>
    </row>
    <row r="63" spans="1:5" x14ac:dyDescent="0.35">
      <c r="A63" t="s">
        <v>63</v>
      </c>
      <c r="B63">
        <v>61.99</v>
      </c>
      <c r="C63">
        <v>5970.84</v>
      </c>
      <c r="D63">
        <f t="shared" si="0"/>
        <v>-1.9339248573834841E-3</v>
      </c>
      <c r="E63">
        <f t="shared" si="1"/>
        <v>-1.111730467559637E-2</v>
      </c>
    </row>
    <row r="64" spans="1:5" x14ac:dyDescent="0.35">
      <c r="A64" t="s">
        <v>64</v>
      </c>
      <c r="B64">
        <v>62.11</v>
      </c>
      <c r="C64">
        <v>6037.59</v>
      </c>
      <c r="D64">
        <f t="shared" si="0"/>
        <v>-4.3377046084456198E-3</v>
      </c>
      <c r="E64">
        <f t="shared" si="1"/>
        <v>-4.0570874146761795E-4</v>
      </c>
    </row>
    <row r="65" spans="1:5" x14ac:dyDescent="0.35">
      <c r="A65" t="s">
        <v>65</v>
      </c>
      <c r="B65">
        <v>62.38</v>
      </c>
      <c r="C65">
        <v>6040.04</v>
      </c>
      <c r="D65">
        <f t="shared" si="0"/>
        <v>7.4014818981856124E-3</v>
      </c>
      <c r="E65">
        <f t="shared" si="1"/>
        <v>1.0982197273831982E-2</v>
      </c>
    </row>
    <row r="66" spans="1:5" x14ac:dyDescent="0.35">
      <c r="A66" t="s">
        <v>66</v>
      </c>
      <c r="B66">
        <v>61.92</v>
      </c>
      <c r="C66">
        <v>5974.07</v>
      </c>
      <c r="D66">
        <f t="shared" si="0"/>
        <v>-2.7417160953297727E-3</v>
      </c>
      <c r="E66">
        <f t="shared" si="1"/>
        <v>7.2608954754625398E-3</v>
      </c>
    </row>
    <row r="67" spans="1:5" x14ac:dyDescent="0.35">
      <c r="A67" t="s">
        <v>67</v>
      </c>
      <c r="B67">
        <v>62.09</v>
      </c>
      <c r="C67">
        <v>5930.85</v>
      </c>
      <c r="D67">
        <f t="shared" ref="D67:D130" si="2">LN(B67/B68)</f>
        <v>1.6118636629733596E-3</v>
      </c>
      <c r="E67">
        <f t="shared" ref="E67:E130" si="3">LN(C67/C68)</f>
        <v>1.0810476252410672E-2</v>
      </c>
    </row>
    <row r="68" spans="1:5" x14ac:dyDescent="0.35">
      <c r="A68" t="s">
        <v>68</v>
      </c>
      <c r="B68">
        <v>61.99</v>
      </c>
      <c r="C68">
        <v>5867.08</v>
      </c>
      <c r="D68">
        <f t="shared" si="2"/>
        <v>-6.431924408866958E-3</v>
      </c>
      <c r="E68">
        <f t="shared" si="3"/>
        <v>-8.6547345775283581E-4</v>
      </c>
    </row>
    <row r="69" spans="1:5" x14ac:dyDescent="0.35">
      <c r="A69" t="s">
        <v>69</v>
      </c>
      <c r="B69">
        <v>62.39</v>
      </c>
      <c r="C69">
        <v>5872.16</v>
      </c>
      <c r="D69">
        <f t="shared" si="2"/>
        <v>-8.7768855135657679E-3</v>
      </c>
      <c r="E69">
        <f t="shared" si="3"/>
        <v>-2.9936554508987644E-2</v>
      </c>
    </row>
    <row r="70" spans="1:5" x14ac:dyDescent="0.35">
      <c r="A70" t="s">
        <v>70</v>
      </c>
      <c r="B70">
        <v>62.94</v>
      </c>
      <c r="C70">
        <v>6050.61</v>
      </c>
      <c r="D70">
        <f t="shared" si="2"/>
        <v>1.3596946259459376E-2</v>
      </c>
      <c r="E70">
        <f t="shared" si="3"/>
        <v>-3.8714440227630084E-3</v>
      </c>
    </row>
    <row r="71" spans="1:5" x14ac:dyDescent="0.35">
      <c r="A71" t="s">
        <v>71</v>
      </c>
      <c r="B71">
        <v>62.09</v>
      </c>
      <c r="C71">
        <v>6074.08</v>
      </c>
      <c r="D71">
        <f t="shared" si="2"/>
        <v>-9.1383401472441006E-3</v>
      </c>
      <c r="E71">
        <f t="shared" si="3"/>
        <v>3.7921163249597686E-3</v>
      </c>
    </row>
    <row r="72" spans="1:5" x14ac:dyDescent="0.35">
      <c r="A72" t="s">
        <v>72</v>
      </c>
      <c r="B72">
        <v>62.66</v>
      </c>
      <c r="C72">
        <v>6051.09</v>
      </c>
      <c r="D72">
        <f t="shared" si="2"/>
        <v>-1.126727781137994E-2</v>
      </c>
      <c r="E72">
        <f t="shared" si="3"/>
        <v>-2.6441167577320025E-5</v>
      </c>
    </row>
    <row r="73" spans="1:5" x14ac:dyDescent="0.35">
      <c r="A73" t="s">
        <v>73</v>
      </c>
      <c r="B73">
        <v>63.37</v>
      </c>
      <c r="C73">
        <v>6051.25</v>
      </c>
      <c r="D73">
        <f t="shared" si="2"/>
        <v>1.8957158704817765E-2</v>
      </c>
      <c r="E73">
        <f t="shared" si="3"/>
        <v>-5.4287410919564485E-3</v>
      </c>
    </row>
    <row r="74" spans="1:5" x14ac:dyDescent="0.35">
      <c r="A74" t="s">
        <v>74</v>
      </c>
      <c r="B74">
        <v>62.18</v>
      </c>
      <c r="C74">
        <v>6084.19</v>
      </c>
      <c r="D74">
        <f t="shared" si="2"/>
        <v>-4.3328319409789958E-3</v>
      </c>
      <c r="E74">
        <f t="shared" si="3"/>
        <v>8.1326619328850828E-3</v>
      </c>
    </row>
    <row r="75" spans="1:5" x14ac:dyDescent="0.35">
      <c r="A75" t="s">
        <v>75</v>
      </c>
      <c r="B75">
        <v>62.45</v>
      </c>
      <c r="C75">
        <v>6034.91</v>
      </c>
      <c r="D75">
        <f t="shared" si="2"/>
        <v>4.9763326066853356E-3</v>
      </c>
      <c r="E75">
        <f t="shared" si="3"/>
        <v>-2.9682940713745675E-3</v>
      </c>
    </row>
    <row r="76" spans="1:5" x14ac:dyDescent="0.35">
      <c r="A76" t="s">
        <v>76</v>
      </c>
      <c r="B76">
        <v>62.14</v>
      </c>
      <c r="C76">
        <v>6052.85</v>
      </c>
      <c r="D76">
        <f t="shared" si="2"/>
        <v>1.1271235393400887E-3</v>
      </c>
      <c r="E76">
        <f t="shared" si="3"/>
        <v>-6.1631802121963038E-3</v>
      </c>
    </row>
    <row r="77" spans="1:5" x14ac:dyDescent="0.35">
      <c r="A77" t="s">
        <v>77</v>
      </c>
      <c r="B77">
        <v>62.07</v>
      </c>
      <c r="C77">
        <v>6090.27</v>
      </c>
      <c r="D77">
        <f t="shared" si="2"/>
        <v>-6.2635714293711236E-3</v>
      </c>
      <c r="E77">
        <f t="shared" si="3"/>
        <v>2.4923196558419955E-3</v>
      </c>
    </row>
    <row r="78" spans="1:5" x14ac:dyDescent="0.35">
      <c r="A78" t="s">
        <v>78</v>
      </c>
      <c r="B78">
        <v>62.46</v>
      </c>
      <c r="C78">
        <v>6075.11</v>
      </c>
      <c r="D78">
        <f t="shared" si="2"/>
        <v>1.1432376346845999E-2</v>
      </c>
      <c r="E78">
        <f t="shared" si="3"/>
        <v>-1.8714648272306858E-3</v>
      </c>
    </row>
    <row r="79" spans="1:5" x14ac:dyDescent="0.35">
      <c r="A79" t="s">
        <v>79</v>
      </c>
      <c r="B79">
        <v>61.75</v>
      </c>
      <c r="C79">
        <v>6086.49</v>
      </c>
      <c r="D79">
        <f t="shared" si="2"/>
        <v>-2.0834086902841914E-2</v>
      </c>
      <c r="E79">
        <f t="shared" si="3"/>
        <v>6.0331237505021089E-3</v>
      </c>
    </row>
    <row r="80" spans="1:5" x14ac:dyDescent="0.35">
      <c r="A80" t="s">
        <v>80</v>
      </c>
      <c r="B80">
        <v>63.05</v>
      </c>
      <c r="C80">
        <v>6049.88</v>
      </c>
      <c r="D80">
        <f t="shared" si="2"/>
        <v>-2.059732963010616E-3</v>
      </c>
      <c r="E80">
        <f t="shared" si="3"/>
        <v>4.5135046310470323E-4</v>
      </c>
    </row>
    <row r="81" spans="1:5" x14ac:dyDescent="0.35">
      <c r="A81" t="s">
        <v>81</v>
      </c>
      <c r="B81">
        <v>63.18</v>
      </c>
      <c r="C81">
        <v>6047.15</v>
      </c>
      <c r="D81">
        <f t="shared" si="2"/>
        <v>-6.7828953167737302E-3</v>
      </c>
      <c r="E81">
        <f t="shared" si="3"/>
        <v>2.4454606033056034E-3</v>
      </c>
    </row>
    <row r="82" spans="1:5" x14ac:dyDescent="0.35">
      <c r="A82" t="s">
        <v>82</v>
      </c>
      <c r="B82">
        <v>63.61</v>
      </c>
      <c r="C82">
        <v>6032.38</v>
      </c>
      <c r="D82">
        <f t="shared" si="2"/>
        <v>2.0457950325045793E-3</v>
      </c>
      <c r="E82">
        <f t="shared" si="3"/>
        <v>5.5921788939180331E-3</v>
      </c>
    </row>
    <row r="83" spans="1:5" x14ac:dyDescent="0.35">
      <c r="A83" t="s">
        <v>83</v>
      </c>
      <c r="B83">
        <v>63.48</v>
      </c>
      <c r="C83">
        <v>5998.74</v>
      </c>
      <c r="D83">
        <f t="shared" si="2"/>
        <v>-1.7313296211081824E-3</v>
      </c>
      <c r="E83">
        <f t="shared" si="3"/>
        <v>-3.8085396153748753E-3</v>
      </c>
    </row>
    <row r="84" spans="1:5" x14ac:dyDescent="0.35">
      <c r="A84" t="s">
        <v>84</v>
      </c>
      <c r="B84">
        <v>63.59</v>
      </c>
      <c r="C84">
        <v>6021.63</v>
      </c>
      <c r="D84">
        <f t="shared" si="2"/>
        <v>2.5192896335107418E-3</v>
      </c>
      <c r="E84">
        <f t="shared" si="3"/>
        <v>5.7057361888066833E-3</v>
      </c>
    </row>
    <row r="85" spans="1:5" x14ac:dyDescent="0.35">
      <c r="A85" t="s">
        <v>85</v>
      </c>
      <c r="B85">
        <v>63.43</v>
      </c>
      <c r="C85">
        <v>5987.37</v>
      </c>
      <c r="D85">
        <f t="shared" si="2"/>
        <v>7.2785131451544825E-3</v>
      </c>
      <c r="E85">
        <f t="shared" si="3"/>
        <v>3.015882072251307E-3</v>
      </c>
    </row>
    <row r="86" spans="1:5" x14ac:dyDescent="0.35">
      <c r="A86" t="s">
        <v>86</v>
      </c>
      <c r="B86">
        <v>62.97</v>
      </c>
      <c r="C86">
        <v>5969.34</v>
      </c>
      <c r="D86">
        <f t="shared" si="2"/>
        <v>2.3849283901508562E-3</v>
      </c>
      <c r="E86">
        <f t="shared" si="3"/>
        <v>3.4619792004100735E-3</v>
      </c>
    </row>
    <row r="87" spans="1:5" x14ac:dyDescent="0.35">
      <c r="A87" t="s">
        <v>87</v>
      </c>
      <c r="B87">
        <v>62.82</v>
      </c>
      <c r="C87">
        <v>5948.71</v>
      </c>
      <c r="D87">
        <f t="shared" si="2"/>
        <v>1.2171835090266392E-2</v>
      </c>
      <c r="E87">
        <f t="shared" si="3"/>
        <v>5.3262353051749837E-3</v>
      </c>
    </row>
    <row r="88" spans="1:5" x14ac:dyDescent="0.35">
      <c r="A88" t="s">
        <v>88</v>
      </c>
      <c r="B88">
        <v>62.06</v>
      </c>
      <c r="C88">
        <v>5917.11</v>
      </c>
      <c r="D88">
        <f t="shared" si="2"/>
        <v>6.4662365622299928E-3</v>
      </c>
      <c r="E88">
        <f t="shared" si="3"/>
        <v>2.1970426117316337E-5</v>
      </c>
    </row>
    <row r="89" spans="1:5" x14ac:dyDescent="0.35">
      <c r="A89" t="s">
        <v>89</v>
      </c>
      <c r="B89">
        <v>61.66</v>
      </c>
      <c r="C89">
        <v>5916.98</v>
      </c>
      <c r="D89">
        <f t="shared" si="2"/>
        <v>1.1745648900441202E-2</v>
      </c>
      <c r="E89">
        <f t="shared" si="3"/>
        <v>3.9557737052673715E-3</v>
      </c>
    </row>
    <row r="90" spans="1:5" x14ac:dyDescent="0.35">
      <c r="A90" t="s">
        <v>90</v>
      </c>
      <c r="B90">
        <v>60.94</v>
      </c>
      <c r="C90">
        <v>5893.62</v>
      </c>
      <c r="D90">
        <f t="shared" si="2"/>
        <v>1.8066852249490513E-3</v>
      </c>
      <c r="E90">
        <f t="shared" si="3"/>
        <v>3.9101598241076656E-3</v>
      </c>
    </row>
    <row r="91" spans="1:5" x14ac:dyDescent="0.35">
      <c r="A91" t="s">
        <v>91</v>
      </c>
      <c r="B91">
        <v>60.83</v>
      </c>
      <c r="C91">
        <v>5870.62</v>
      </c>
      <c r="D91">
        <f t="shared" si="2"/>
        <v>-1.2903404835907841E-2</v>
      </c>
      <c r="E91">
        <f t="shared" si="3"/>
        <v>-1.3291463960568205E-2</v>
      </c>
    </row>
    <row r="92" spans="1:5" x14ac:dyDescent="0.35">
      <c r="A92" t="s">
        <v>92</v>
      </c>
      <c r="B92">
        <v>61.62</v>
      </c>
      <c r="C92">
        <v>5949.17</v>
      </c>
      <c r="D92">
        <f t="shared" si="2"/>
        <v>-7.2762872570395539E-3</v>
      </c>
      <c r="E92">
        <f t="shared" si="3"/>
        <v>-6.0681150291174617E-3</v>
      </c>
    </row>
    <row r="93" spans="1:5" x14ac:dyDescent="0.35">
      <c r="A93" t="s">
        <v>93</v>
      </c>
      <c r="B93">
        <v>62.07</v>
      </c>
      <c r="C93">
        <v>5985.38</v>
      </c>
      <c r="D93">
        <f t="shared" si="2"/>
        <v>-3.0563845879007473E-3</v>
      </c>
      <c r="E93">
        <f t="shared" si="3"/>
        <v>2.322595101076364E-4</v>
      </c>
    </row>
    <row r="94" spans="1:5" x14ac:dyDescent="0.35">
      <c r="A94" t="s">
        <v>94</v>
      </c>
      <c r="B94">
        <v>62.26</v>
      </c>
      <c r="C94">
        <v>5983.99</v>
      </c>
      <c r="D94">
        <f t="shared" si="2"/>
        <v>-2.5665718291712891E-3</v>
      </c>
      <c r="E94">
        <f t="shared" si="3"/>
        <v>-2.8968743715661891E-3</v>
      </c>
    </row>
    <row r="95" spans="1:5" x14ac:dyDescent="0.35">
      <c r="A95" t="s">
        <v>95</v>
      </c>
      <c r="B95">
        <v>62.42</v>
      </c>
      <c r="C95">
        <v>6001.35</v>
      </c>
      <c r="D95">
        <f t="shared" si="2"/>
        <v>-8.7726856580178821E-3</v>
      </c>
      <c r="E95">
        <f t="shared" si="3"/>
        <v>9.6858443383637458E-4</v>
      </c>
    </row>
    <row r="96" spans="1:5" x14ac:dyDescent="0.35">
      <c r="A96" t="s">
        <v>96</v>
      </c>
      <c r="B96">
        <v>62.97</v>
      </c>
      <c r="C96">
        <v>5995.54</v>
      </c>
      <c r="D96">
        <f t="shared" si="2"/>
        <v>3.9780464584988854E-3</v>
      </c>
      <c r="E96">
        <f t="shared" si="3"/>
        <v>3.7498038697994338E-3</v>
      </c>
    </row>
    <row r="97" spans="1:5" x14ac:dyDescent="0.35">
      <c r="A97" t="s">
        <v>97</v>
      </c>
      <c r="B97">
        <v>62.72</v>
      </c>
      <c r="C97">
        <v>5973.1</v>
      </c>
      <c r="D97">
        <f t="shared" si="2"/>
        <v>-6.3755182267942923E-4</v>
      </c>
      <c r="E97">
        <f t="shared" si="3"/>
        <v>7.4037444129894632E-3</v>
      </c>
    </row>
    <row r="98" spans="1:5" x14ac:dyDescent="0.35">
      <c r="A98" t="s">
        <v>98</v>
      </c>
      <c r="B98">
        <v>62.76</v>
      </c>
      <c r="C98">
        <v>5929.04</v>
      </c>
      <c r="D98">
        <f t="shared" si="2"/>
        <v>-2.5795705245476263E-2</v>
      </c>
      <c r="E98">
        <f t="shared" si="3"/>
        <v>2.4981233838896531E-2</v>
      </c>
    </row>
    <row r="99" spans="1:5" x14ac:dyDescent="0.35">
      <c r="A99" t="s">
        <v>99</v>
      </c>
      <c r="B99">
        <v>64.400000000000006</v>
      </c>
      <c r="C99">
        <v>5782.76</v>
      </c>
      <c r="D99">
        <f t="shared" si="2"/>
        <v>3.8895420486625529E-3</v>
      </c>
      <c r="E99">
        <f t="shared" si="3"/>
        <v>1.219106130274809E-2</v>
      </c>
    </row>
    <row r="100" spans="1:5" x14ac:dyDescent="0.35">
      <c r="A100" t="s">
        <v>100</v>
      </c>
      <c r="B100">
        <v>64.150000000000006</v>
      </c>
      <c r="C100">
        <v>5712.69</v>
      </c>
      <c r="D100">
        <f t="shared" si="2"/>
        <v>1.560062718902406E-3</v>
      </c>
      <c r="E100">
        <f t="shared" si="3"/>
        <v>-2.8160686495115016E-3</v>
      </c>
    </row>
    <row r="101" spans="1:5" x14ac:dyDescent="0.35">
      <c r="A101" t="s">
        <v>101</v>
      </c>
      <c r="B101">
        <v>64.05</v>
      </c>
      <c r="C101">
        <v>5728.8</v>
      </c>
      <c r="D101">
        <f t="shared" si="2"/>
        <v>-4.5174934681371046E-3</v>
      </c>
      <c r="E101">
        <f t="shared" si="3"/>
        <v>4.0842263302362366E-3</v>
      </c>
    </row>
    <row r="102" spans="1:5" x14ac:dyDescent="0.35">
      <c r="A102" t="s">
        <v>102</v>
      </c>
      <c r="B102">
        <v>64.34</v>
      </c>
      <c r="C102">
        <v>5705.45</v>
      </c>
      <c r="D102">
        <f t="shared" si="2"/>
        <v>-9.2822448638194971E-3</v>
      </c>
      <c r="E102">
        <f t="shared" si="3"/>
        <v>-1.8790182599519829E-2</v>
      </c>
    </row>
    <row r="103" spans="1:5" x14ac:dyDescent="0.35">
      <c r="A103" t="s">
        <v>103</v>
      </c>
      <c r="B103">
        <v>64.94</v>
      </c>
      <c r="C103">
        <v>5813.67</v>
      </c>
      <c r="D103">
        <f t="shared" si="2"/>
        <v>5.4041666303184287E-3</v>
      </c>
      <c r="E103">
        <f t="shared" si="3"/>
        <v>-3.3056916281390038E-3</v>
      </c>
    </row>
    <row r="104" spans="1:5" x14ac:dyDescent="0.35">
      <c r="A104" t="s">
        <v>104</v>
      </c>
      <c r="B104">
        <v>64.59</v>
      </c>
      <c r="C104">
        <v>5832.92</v>
      </c>
      <c r="D104">
        <f t="shared" si="2"/>
        <v>-1.673486509979151E-2</v>
      </c>
      <c r="E104">
        <f t="shared" si="3"/>
        <v>1.6128426925638532E-3</v>
      </c>
    </row>
    <row r="105" spans="1:5" x14ac:dyDescent="0.35">
      <c r="A105" t="s">
        <v>105</v>
      </c>
      <c r="B105">
        <v>65.680000000000007</v>
      </c>
      <c r="C105">
        <v>5823.52</v>
      </c>
      <c r="D105">
        <f t="shared" si="2"/>
        <v>-3.7991079810355457E-3</v>
      </c>
      <c r="E105">
        <f t="shared" si="3"/>
        <v>2.6479514493707988E-3</v>
      </c>
    </row>
    <row r="106" spans="1:5" x14ac:dyDescent="0.35">
      <c r="A106" t="s">
        <v>106</v>
      </c>
      <c r="B106">
        <v>65.930000000000007</v>
      </c>
      <c r="C106">
        <v>5808.12</v>
      </c>
      <c r="D106">
        <f t="shared" si="2"/>
        <v>-5.5963240666084078E-3</v>
      </c>
      <c r="E106">
        <f t="shared" si="3"/>
        <v>-2.9953572187414154E-4</v>
      </c>
    </row>
    <row r="107" spans="1:5" x14ac:dyDescent="0.35">
      <c r="A107" t="s">
        <v>107</v>
      </c>
      <c r="B107">
        <v>66.3</v>
      </c>
      <c r="C107">
        <v>5809.86</v>
      </c>
      <c r="D107">
        <f t="shared" si="2"/>
        <v>-1.0502722199149288E-2</v>
      </c>
      <c r="E107">
        <f t="shared" si="3"/>
        <v>2.1434831869283494E-3</v>
      </c>
    </row>
    <row r="108" spans="1:5" x14ac:dyDescent="0.35">
      <c r="A108" t="s">
        <v>108</v>
      </c>
      <c r="B108">
        <v>67</v>
      </c>
      <c r="C108">
        <v>5797.42</v>
      </c>
      <c r="D108">
        <f t="shared" si="2"/>
        <v>-2.0972560158492585E-2</v>
      </c>
      <c r="E108">
        <f t="shared" si="3"/>
        <v>-9.2337774119530536E-3</v>
      </c>
    </row>
    <row r="109" spans="1:5" x14ac:dyDescent="0.35">
      <c r="A109" t="s">
        <v>109</v>
      </c>
      <c r="B109">
        <v>68.42</v>
      </c>
      <c r="C109">
        <v>5851.2</v>
      </c>
      <c r="D109">
        <f t="shared" si="2"/>
        <v>0</v>
      </c>
      <c r="E109">
        <f t="shared" si="3"/>
        <v>-4.7500338350551163E-4</v>
      </c>
    </row>
    <row r="110" spans="1:5" x14ac:dyDescent="0.35">
      <c r="A110" t="s">
        <v>110</v>
      </c>
      <c r="B110">
        <v>68.42</v>
      </c>
      <c r="C110">
        <v>5853.98</v>
      </c>
      <c r="D110">
        <f t="shared" si="2"/>
        <v>-1.4221687963300225E-2</v>
      </c>
      <c r="E110">
        <f t="shared" si="3"/>
        <v>-1.8244427413090425E-3</v>
      </c>
    </row>
    <row r="111" spans="1:5" x14ac:dyDescent="0.35">
      <c r="A111" t="s">
        <v>111</v>
      </c>
      <c r="B111">
        <v>69.400000000000006</v>
      </c>
      <c r="C111">
        <v>5864.67</v>
      </c>
      <c r="D111">
        <f t="shared" si="2"/>
        <v>7.6661979561519272E-3</v>
      </c>
      <c r="E111">
        <f t="shared" si="3"/>
        <v>3.9637370431245362E-3</v>
      </c>
    </row>
    <row r="112" spans="1:5" x14ac:dyDescent="0.35">
      <c r="A112" t="s">
        <v>112</v>
      </c>
      <c r="B112">
        <v>68.87</v>
      </c>
      <c r="C112">
        <v>5841.47</v>
      </c>
      <c r="D112">
        <f t="shared" si="2"/>
        <v>-9.5376445543195864E-3</v>
      </c>
      <c r="E112">
        <f t="shared" si="3"/>
        <v>-1.7117513483320916E-4</v>
      </c>
    </row>
    <row r="113" spans="1:5" x14ac:dyDescent="0.35">
      <c r="A113" t="s">
        <v>113</v>
      </c>
      <c r="B113">
        <v>69.53</v>
      </c>
      <c r="C113">
        <v>5842.47</v>
      </c>
      <c r="D113">
        <f t="shared" si="2"/>
        <v>3.3134079150689789E-3</v>
      </c>
      <c r="E113">
        <f t="shared" si="3"/>
        <v>4.6681557065759915E-3</v>
      </c>
    </row>
    <row r="114" spans="1:5" x14ac:dyDescent="0.35">
      <c r="A114" t="s">
        <v>114</v>
      </c>
      <c r="B114">
        <v>69.3</v>
      </c>
      <c r="C114">
        <v>5815.26</v>
      </c>
      <c r="D114">
        <f t="shared" si="2"/>
        <v>0</v>
      </c>
      <c r="E114">
        <f t="shared" si="3"/>
        <v>-7.6385090687541464E-3</v>
      </c>
    </row>
    <row r="115" spans="1:5" x14ac:dyDescent="0.35">
      <c r="A115" t="s">
        <v>115</v>
      </c>
      <c r="B115">
        <v>69.3</v>
      </c>
      <c r="C115">
        <v>5859.85</v>
      </c>
      <c r="D115">
        <f t="shared" si="2"/>
        <v>1.1027389749394635E-2</v>
      </c>
      <c r="E115">
        <f t="shared" si="3"/>
        <v>7.6780609629941675E-3</v>
      </c>
    </row>
    <row r="116" spans="1:5" x14ac:dyDescent="0.35">
      <c r="A116" t="s">
        <v>116</v>
      </c>
      <c r="B116">
        <v>68.540000000000006</v>
      </c>
      <c r="C116">
        <v>5815.03</v>
      </c>
      <c r="D116">
        <f t="shared" si="2"/>
        <v>4.5331656191306179E-3</v>
      </c>
      <c r="E116">
        <f t="shared" si="3"/>
        <v>6.0336118627852325E-3</v>
      </c>
    </row>
    <row r="117" spans="1:5" x14ac:dyDescent="0.35">
      <c r="A117" t="s">
        <v>117</v>
      </c>
      <c r="B117">
        <v>68.23</v>
      </c>
      <c r="C117">
        <v>5780.05</v>
      </c>
      <c r="D117">
        <f t="shared" si="2"/>
        <v>-4.5331656191305147E-3</v>
      </c>
      <c r="E117">
        <f t="shared" si="3"/>
        <v>-2.0722279710146596E-3</v>
      </c>
    </row>
    <row r="118" spans="1:5" x14ac:dyDescent="0.35">
      <c r="A118" t="s">
        <v>118</v>
      </c>
      <c r="B118">
        <v>68.540000000000006</v>
      </c>
      <c r="C118">
        <v>5792.04</v>
      </c>
      <c r="D118">
        <f t="shared" si="2"/>
        <v>5.5596339254026855E-3</v>
      </c>
      <c r="E118">
        <f t="shared" si="3"/>
        <v>7.0882038963943272E-3</v>
      </c>
    </row>
    <row r="119" spans="1:5" x14ac:dyDescent="0.35">
      <c r="A119" t="s">
        <v>119</v>
      </c>
      <c r="B119">
        <v>68.16</v>
      </c>
      <c r="C119">
        <v>5751.13</v>
      </c>
      <c r="D119">
        <f t="shared" si="2"/>
        <v>2.4972469826921029E-3</v>
      </c>
      <c r="E119">
        <f t="shared" si="3"/>
        <v>9.6427168941927138E-3</v>
      </c>
    </row>
    <row r="120" spans="1:5" x14ac:dyDescent="0.35">
      <c r="A120" t="s">
        <v>120</v>
      </c>
      <c r="B120">
        <v>67.989999999999995</v>
      </c>
      <c r="C120">
        <v>5695.94</v>
      </c>
      <c r="D120">
        <f t="shared" si="2"/>
        <v>-1.6628154418805323E-2</v>
      </c>
      <c r="E120">
        <f t="shared" si="3"/>
        <v>-9.6322841074211688E-3</v>
      </c>
    </row>
    <row r="121" spans="1:5" x14ac:dyDescent="0.35">
      <c r="A121" t="s">
        <v>121</v>
      </c>
      <c r="B121">
        <v>69.13</v>
      </c>
      <c r="C121">
        <v>5751.07</v>
      </c>
      <c r="D121">
        <f t="shared" si="2"/>
        <v>-5.0501514157306167E-3</v>
      </c>
      <c r="E121">
        <f t="shared" si="3"/>
        <v>8.9302759844378885E-3</v>
      </c>
    </row>
    <row r="122" spans="1:5" x14ac:dyDescent="0.35">
      <c r="A122" t="s">
        <v>122</v>
      </c>
      <c r="B122">
        <v>69.48</v>
      </c>
      <c r="C122">
        <v>5699.94</v>
      </c>
      <c r="D122">
        <f t="shared" si="2"/>
        <v>-6.8847087774970318E-3</v>
      </c>
      <c r="E122">
        <f t="shared" si="3"/>
        <v>-1.6828115331257495E-3</v>
      </c>
    </row>
    <row r="123" spans="1:5" x14ac:dyDescent="0.35">
      <c r="A123" t="s">
        <v>123</v>
      </c>
      <c r="B123">
        <v>69.959999999999994</v>
      </c>
      <c r="C123">
        <v>5709.54</v>
      </c>
      <c r="D123">
        <f t="shared" si="2"/>
        <v>-9.8144589801353477E-3</v>
      </c>
      <c r="E123">
        <f t="shared" si="3"/>
        <v>1.3837448536698041E-4</v>
      </c>
    </row>
    <row r="124" spans="1:5" x14ac:dyDescent="0.35">
      <c r="A124" t="s">
        <v>124</v>
      </c>
      <c r="B124">
        <v>70.650000000000006</v>
      </c>
      <c r="C124">
        <v>5708.75</v>
      </c>
      <c r="D124">
        <f t="shared" si="2"/>
        <v>-2.1208915691375133E-3</v>
      </c>
      <c r="E124">
        <f t="shared" si="3"/>
        <v>-9.3678520838370288E-3</v>
      </c>
    </row>
    <row r="125" spans="1:5" x14ac:dyDescent="0.35">
      <c r="A125" t="s">
        <v>125</v>
      </c>
      <c r="B125">
        <v>70.8</v>
      </c>
      <c r="C125">
        <v>5762.48</v>
      </c>
      <c r="D125">
        <f t="shared" si="2"/>
        <v>9.8918965177551238E-4</v>
      </c>
      <c r="E125">
        <f t="shared" si="3"/>
        <v>4.227593432856073E-3</v>
      </c>
    </row>
    <row r="126" spans="1:5" x14ac:dyDescent="0.35">
      <c r="A126" t="s">
        <v>126</v>
      </c>
      <c r="B126">
        <v>70.73</v>
      </c>
      <c r="C126">
        <v>5738.17</v>
      </c>
      <c r="D126">
        <f t="shared" si="2"/>
        <v>5.5291840020622153E-3</v>
      </c>
      <c r="E126">
        <f t="shared" si="3"/>
        <v>-1.2539688882457197E-3</v>
      </c>
    </row>
    <row r="127" spans="1:5" x14ac:dyDescent="0.35">
      <c r="A127" t="s">
        <v>127</v>
      </c>
      <c r="B127">
        <v>70.34</v>
      </c>
      <c r="C127">
        <v>5745.37</v>
      </c>
      <c r="D127">
        <f t="shared" si="2"/>
        <v>-7.1058057420375685E-4</v>
      </c>
      <c r="E127">
        <f t="shared" si="3"/>
        <v>4.0304808028723289E-3</v>
      </c>
    </row>
    <row r="128" spans="1:5" x14ac:dyDescent="0.35">
      <c r="A128" t="s">
        <v>128</v>
      </c>
      <c r="B128">
        <v>70.39</v>
      </c>
      <c r="C128">
        <v>5722.26</v>
      </c>
      <c r="D128">
        <f t="shared" si="2"/>
        <v>1.7062424159339222E-3</v>
      </c>
      <c r="E128">
        <f t="shared" si="3"/>
        <v>-1.8629115860669923E-3</v>
      </c>
    </row>
    <row r="129" spans="1:5" x14ac:dyDescent="0.35">
      <c r="A129" t="s">
        <v>129</v>
      </c>
      <c r="B129">
        <v>70.27</v>
      </c>
      <c r="C129">
        <v>5732.93</v>
      </c>
      <c r="D129">
        <f t="shared" si="2"/>
        <v>-5.6761894986566506E-3</v>
      </c>
      <c r="E129">
        <f t="shared" si="3"/>
        <v>2.5079697029956895E-3</v>
      </c>
    </row>
    <row r="130" spans="1:5" x14ac:dyDescent="0.35">
      <c r="A130" t="s">
        <v>130</v>
      </c>
      <c r="B130">
        <v>70.67</v>
      </c>
      <c r="C130">
        <v>5718.57</v>
      </c>
      <c r="D130">
        <f t="shared" si="2"/>
        <v>1.2743364556390979E-3</v>
      </c>
      <c r="E130">
        <f t="shared" si="3"/>
        <v>2.8053309143568263E-3</v>
      </c>
    </row>
    <row r="131" spans="1:5" x14ac:dyDescent="0.35">
      <c r="A131" t="s">
        <v>131</v>
      </c>
      <c r="B131">
        <v>70.58</v>
      </c>
      <c r="C131">
        <v>5702.55</v>
      </c>
      <c r="D131">
        <f t="shared" ref="D131:D187" si="4">LN(B131/B132)</f>
        <v>1.4413378311574198E-2</v>
      </c>
      <c r="E131">
        <f t="shared" ref="E131:E187" si="5">LN(C131/C132)</f>
        <v>-1.942855451501775E-3</v>
      </c>
    </row>
    <row r="132" spans="1:5" x14ac:dyDescent="0.35">
      <c r="A132" t="s">
        <v>132</v>
      </c>
      <c r="B132">
        <v>69.569999999999993</v>
      </c>
      <c r="C132">
        <v>5713.64</v>
      </c>
      <c r="D132">
        <f t="shared" si="4"/>
        <v>-1.5970680247312775E-2</v>
      </c>
      <c r="E132">
        <f t="shared" si="5"/>
        <v>1.6834291247586949E-2</v>
      </c>
    </row>
    <row r="133" spans="1:5" x14ac:dyDescent="0.35">
      <c r="A133" t="s">
        <v>133</v>
      </c>
      <c r="B133">
        <v>70.69</v>
      </c>
      <c r="C133">
        <v>5618.26</v>
      </c>
      <c r="D133">
        <f t="shared" si="4"/>
        <v>-7.0706359447185647E-4</v>
      </c>
      <c r="E133">
        <f t="shared" si="5"/>
        <v>-2.9006031263851696E-3</v>
      </c>
    </row>
    <row r="134" spans="1:5" x14ac:dyDescent="0.35">
      <c r="A134" t="s">
        <v>134</v>
      </c>
      <c r="B134">
        <v>70.739999999999995</v>
      </c>
      <c r="C134">
        <v>5634.58</v>
      </c>
      <c r="D134">
        <f t="shared" si="4"/>
        <v>-4.0911392323841281E-3</v>
      </c>
      <c r="E134">
        <f t="shared" si="5"/>
        <v>2.6447349073670164E-4</v>
      </c>
    </row>
    <row r="135" spans="1:5" x14ac:dyDescent="0.35">
      <c r="A135" t="s">
        <v>135</v>
      </c>
      <c r="B135">
        <v>71.03</v>
      </c>
      <c r="C135">
        <v>5633.09</v>
      </c>
      <c r="D135">
        <f t="shared" si="4"/>
        <v>9.6195394493207159E-3</v>
      </c>
      <c r="E135">
        <f t="shared" si="5"/>
        <v>1.2558720767880025E-3</v>
      </c>
    </row>
    <row r="136" spans="1:5" x14ac:dyDescent="0.35">
      <c r="A136" t="s">
        <v>136</v>
      </c>
      <c r="B136">
        <v>70.349999999999994</v>
      </c>
      <c r="C136">
        <v>5626.02</v>
      </c>
      <c r="D136">
        <f t="shared" si="4"/>
        <v>9.2824657939198189E-3</v>
      </c>
      <c r="E136">
        <f t="shared" si="5"/>
        <v>5.3930968783714164E-3</v>
      </c>
    </row>
    <row r="137" spans="1:5" x14ac:dyDescent="0.35">
      <c r="A137" t="s">
        <v>137</v>
      </c>
      <c r="B137">
        <v>69.7</v>
      </c>
      <c r="C137">
        <v>5595.76</v>
      </c>
      <c r="D137">
        <f t="shared" si="4"/>
        <v>2.1543993970264464E-3</v>
      </c>
      <c r="E137">
        <f t="shared" si="5"/>
        <v>7.46737294203047E-3</v>
      </c>
    </row>
    <row r="138" spans="1:5" x14ac:dyDescent="0.35">
      <c r="A138" t="s">
        <v>138</v>
      </c>
      <c r="B138">
        <v>69.55</v>
      </c>
      <c r="C138">
        <v>5554.13</v>
      </c>
      <c r="D138">
        <f t="shared" si="4"/>
        <v>-6.5921706196543804E-3</v>
      </c>
      <c r="E138">
        <f t="shared" si="5"/>
        <v>1.0608580303038784E-2</v>
      </c>
    </row>
    <row r="139" spans="1:5" x14ac:dyDescent="0.35">
      <c r="A139" t="s">
        <v>139</v>
      </c>
      <c r="B139">
        <v>70.010000000000005</v>
      </c>
      <c r="C139">
        <v>5495.52</v>
      </c>
      <c r="D139">
        <f t="shared" si="4"/>
        <v>-4.1337098275129307E-3</v>
      </c>
      <c r="E139">
        <f t="shared" si="5"/>
        <v>4.4626607244902189E-3</v>
      </c>
    </row>
    <row r="140" spans="1:5" x14ac:dyDescent="0.35">
      <c r="A140" t="s">
        <v>140</v>
      </c>
      <c r="B140">
        <v>70.3</v>
      </c>
      <c r="C140">
        <v>5471.05</v>
      </c>
      <c r="D140">
        <f t="shared" si="4"/>
        <v>9.8635636360440079E-3</v>
      </c>
      <c r="E140">
        <f t="shared" si="5"/>
        <v>1.1513555690021488E-2</v>
      </c>
    </row>
    <row r="141" spans="1:5" x14ac:dyDescent="0.35">
      <c r="A141" t="s">
        <v>141</v>
      </c>
      <c r="B141">
        <v>69.61</v>
      </c>
      <c r="C141">
        <v>5408.42</v>
      </c>
      <c r="D141">
        <f t="shared" si="4"/>
        <v>-4.3087971941323564E-4</v>
      </c>
      <c r="E141">
        <f t="shared" si="5"/>
        <v>-1.7410901670867562E-2</v>
      </c>
    </row>
    <row r="142" spans="1:5" x14ac:dyDescent="0.35">
      <c r="A142" t="s">
        <v>142</v>
      </c>
      <c r="B142">
        <v>69.64</v>
      </c>
      <c r="C142">
        <v>5503.41</v>
      </c>
      <c r="D142">
        <f t="shared" si="4"/>
        <v>-1.9340762141327125E-2</v>
      </c>
      <c r="E142">
        <f t="shared" si="5"/>
        <v>-3.0226412501879545E-3</v>
      </c>
    </row>
    <row r="143" spans="1:5" x14ac:dyDescent="0.35">
      <c r="A143" t="s">
        <v>143</v>
      </c>
      <c r="B143">
        <v>71</v>
      </c>
      <c r="C143">
        <v>5520.07</v>
      </c>
      <c r="D143">
        <f t="shared" si="4"/>
        <v>-6.1780595269281743E-3</v>
      </c>
      <c r="E143">
        <f t="shared" si="5"/>
        <v>-1.6037653903594354E-3</v>
      </c>
    </row>
    <row r="144" spans="1:5" x14ac:dyDescent="0.35">
      <c r="A144" t="s">
        <v>144</v>
      </c>
      <c r="B144">
        <v>71.44</v>
      </c>
      <c r="C144">
        <v>5528.93</v>
      </c>
      <c r="D144">
        <f t="shared" si="4"/>
        <v>7.4464692523383636E-3</v>
      </c>
      <c r="E144">
        <f t="shared" si="5"/>
        <v>-2.137801245458143E-2</v>
      </c>
    </row>
    <row r="145" spans="1:5" x14ac:dyDescent="0.35">
      <c r="A145" t="s">
        <v>145</v>
      </c>
      <c r="B145">
        <v>70.91</v>
      </c>
      <c r="C145">
        <v>5648.4</v>
      </c>
      <c r="D145">
        <f t="shared" si="4"/>
        <v>5.7987574976823457E-3</v>
      </c>
      <c r="E145">
        <f t="shared" si="5"/>
        <v>1.0042467382856683E-2</v>
      </c>
    </row>
    <row r="146" spans="1:5" x14ac:dyDescent="0.35">
      <c r="A146" t="s">
        <v>146</v>
      </c>
      <c r="B146">
        <v>70.5</v>
      </c>
      <c r="C146">
        <v>5591.96</v>
      </c>
      <c r="D146">
        <f t="shared" si="4"/>
        <v>4.1219587890657002E-3</v>
      </c>
      <c r="E146">
        <f t="shared" si="5"/>
        <v>-3.934142455813639E-5</v>
      </c>
    </row>
    <row r="147" spans="1:5" x14ac:dyDescent="0.35">
      <c r="A147" t="s">
        <v>147</v>
      </c>
      <c r="B147">
        <v>70.209999999999994</v>
      </c>
      <c r="C147">
        <v>5592.18</v>
      </c>
      <c r="D147">
        <f t="shared" si="4"/>
        <v>3.5671008787561821E-3</v>
      </c>
      <c r="E147">
        <f t="shared" si="5"/>
        <v>-5.9939669454233853E-3</v>
      </c>
    </row>
    <row r="148" spans="1:5" x14ac:dyDescent="0.35">
      <c r="A148" t="s">
        <v>148</v>
      </c>
      <c r="B148">
        <v>69.959999999999994</v>
      </c>
      <c r="C148">
        <v>5625.8</v>
      </c>
      <c r="D148">
        <f t="shared" si="4"/>
        <v>9.1901853029959599E-3</v>
      </c>
      <c r="E148">
        <f t="shared" si="5"/>
        <v>1.5939320118754585E-3</v>
      </c>
    </row>
    <row r="149" spans="1:5" x14ac:dyDescent="0.35">
      <c r="A149" t="s">
        <v>149</v>
      </c>
      <c r="B149">
        <v>69.319999999999993</v>
      </c>
      <c r="C149">
        <v>5616.84</v>
      </c>
      <c r="D149">
        <f t="shared" si="4"/>
        <v>1.4970121874407234E-2</v>
      </c>
      <c r="E149">
        <f t="shared" si="5"/>
        <v>-3.1587066155747872E-3</v>
      </c>
    </row>
    <row r="150" spans="1:5" x14ac:dyDescent="0.35">
      <c r="A150" t="s">
        <v>150</v>
      </c>
      <c r="B150">
        <v>68.290000000000006</v>
      </c>
      <c r="C150">
        <v>5634.61</v>
      </c>
      <c r="D150">
        <f t="shared" si="4"/>
        <v>6.6113514893502987E-3</v>
      </c>
      <c r="E150">
        <f t="shared" si="5"/>
        <v>1.1417986208502448E-2</v>
      </c>
    </row>
    <row r="151" spans="1:5" x14ac:dyDescent="0.35">
      <c r="A151" t="s">
        <v>151</v>
      </c>
      <c r="B151">
        <v>67.84</v>
      </c>
      <c r="C151">
        <v>5570.64</v>
      </c>
      <c r="D151">
        <f t="shared" si="4"/>
        <v>-3.3845959762122228E-3</v>
      </c>
      <c r="E151">
        <f t="shared" si="5"/>
        <v>-8.9729494254644684E-3</v>
      </c>
    </row>
    <row r="152" spans="1:5" x14ac:dyDescent="0.35">
      <c r="A152" t="s">
        <v>152</v>
      </c>
      <c r="B152">
        <v>68.069999999999993</v>
      </c>
      <c r="C152">
        <v>5620.85</v>
      </c>
      <c r="D152">
        <f t="shared" si="4"/>
        <v>2.6478391463042772E-3</v>
      </c>
      <c r="E152">
        <f t="shared" si="5"/>
        <v>4.2307182841846242E-3</v>
      </c>
    </row>
    <row r="153" spans="1:5" x14ac:dyDescent="0.35">
      <c r="A153" t="s">
        <v>153</v>
      </c>
      <c r="B153">
        <v>67.89</v>
      </c>
      <c r="C153">
        <v>5597.12</v>
      </c>
      <c r="D153">
        <f t="shared" si="4"/>
        <v>5.7611504350716623E-3</v>
      </c>
      <c r="E153">
        <f t="shared" si="5"/>
        <v>-1.9865481747165059E-3</v>
      </c>
    </row>
    <row r="154" spans="1:5" x14ac:dyDescent="0.35">
      <c r="A154" t="s">
        <v>154</v>
      </c>
      <c r="B154">
        <v>67.5</v>
      </c>
      <c r="C154">
        <v>5608.25</v>
      </c>
      <c r="D154">
        <f t="shared" si="4"/>
        <v>-2.8108606420320795E-3</v>
      </c>
      <c r="E154">
        <f t="shared" si="5"/>
        <v>9.6753274361777754E-3</v>
      </c>
    </row>
    <row r="155" spans="1:5" x14ac:dyDescent="0.35">
      <c r="A155" t="s">
        <v>155</v>
      </c>
      <c r="B155">
        <v>67.69</v>
      </c>
      <c r="C155">
        <v>5554.25</v>
      </c>
      <c r="D155">
        <f t="shared" si="4"/>
        <v>7.7117392417430358E-3</v>
      </c>
      <c r="E155">
        <f t="shared" si="5"/>
        <v>1.9878411263283945E-3</v>
      </c>
    </row>
    <row r="156" spans="1:5" x14ac:dyDescent="0.35">
      <c r="A156" t="s">
        <v>156</v>
      </c>
      <c r="B156">
        <v>67.17</v>
      </c>
      <c r="C156">
        <v>5543.22</v>
      </c>
      <c r="D156">
        <f t="shared" si="4"/>
        <v>8.936551086252693E-4</v>
      </c>
      <c r="E156">
        <f t="shared" si="5"/>
        <v>1.6004444012785939E-2</v>
      </c>
    </row>
    <row r="157" spans="1:5" x14ac:dyDescent="0.35">
      <c r="A157" t="s">
        <v>157</v>
      </c>
      <c r="B157">
        <v>67.11</v>
      </c>
      <c r="C157">
        <v>5455.21</v>
      </c>
      <c r="D157">
        <f t="shared" si="4"/>
        <v>1.7897096499717093E-3</v>
      </c>
      <c r="E157">
        <f t="shared" si="5"/>
        <v>3.816476067632372E-3</v>
      </c>
    </row>
    <row r="158" spans="1:5" x14ac:dyDescent="0.35">
      <c r="A158" t="s">
        <v>158</v>
      </c>
      <c r="B158">
        <v>66.989999999999995</v>
      </c>
      <c r="C158">
        <v>5434.43</v>
      </c>
      <c r="D158">
        <f t="shared" si="4"/>
        <v>4.3384015985981411E-3</v>
      </c>
      <c r="E158">
        <f t="shared" si="5"/>
        <v>1.6707226654933075E-2</v>
      </c>
    </row>
    <row r="159" spans="1:5" x14ac:dyDescent="0.35">
      <c r="A159" t="s">
        <v>159</v>
      </c>
      <c r="B159">
        <v>66.7</v>
      </c>
      <c r="C159">
        <v>5344.39</v>
      </c>
      <c r="D159">
        <f t="shared" si="4"/>
        <v>-7.4682946075257991E-3</v>
      </c>
      <c r="E159">
        <f t="shared" si="5"/>
        <v>4.3036707511422095E-5</v>
      </c>
    </row>
    <row r="160" spans="1:5" x14ac:dyDescent="0.35">
      <c r="A160" t="s">
        <v>160</v>
      </c>
      <c r="B160">
        <v>67.2</v>
      </c>
      <c r="C160">
        <v>5344.16</v>
      </c>
      <c r="D160">
        <f t="shared" si="4"/>
        <v>-7.4377095284454138E-4</v>
      </c>
      <c r="E160">
        <f t="shared" si="5"/>
        <v>4.660780212150723E-3</v>
      </c>
    </row>
    <row r="161" spans="1:5" x14ac:dyDescent="0.35">
      <c r="A161" t="s">
        <v>161</v>
      </c>
      <c r="B161">
        <v>67.25</v>
      </c>
      <c r="C161">
        <v>5319.31</v>
      </c>
      <c r="D161">
        <f t="shared" si="4"/>
        <v>3.8736639617724237E-3</v>
      </c>
      <c r="E161">
        <f t="shared" si="5"/>
        <v>2.2781128575607587E-2</v>
      </c>
    </row>
    <row r="162" spans="1:5" x14ac:dyDescent="0.35">
      <c r="A162" t="s">
        <v>162</v>
      </c>
      <c r="B162">
        <v>66.989999999999995</v>
      </c>
      <c r="C162">
        <v>5199.5</v>
      </c>
      <c r="D162">
        <f t="shared" si="4"/>
        <v>5.988938397645055E-3</v>
      </c>
      <c r="E162">
        <f t="shared" si="5"/>
        <v>-7.7647563892511828E-3</v>
      </c>
    </row>
    <row r="163" spans="1:5" x14ac:dyDescent="0.35">
      <c r="A163" t="s">
        <v>163</v>
      </c>
      <c r="B163">
        <v>66.59</v>
      </c>
      <c r="C163">
        <v>5240.03</v>
      </c>
      <c r="D163">
        <f t="shared" si="4"/>
        <v>-7.50581736056186E-4</v>
      </c>
      <c r="E163">
        <f t="shared" si="5"/>
        <v>1.0300905557719547E-2</v>
      </c>
    </row>
    <row r="164" spans="1:5" x14ac:dyDescent="0.35">
      <c r="A164" t="s">
        <v>164</v>
      </c>
      <c r="B164">
        <v>66.64</v>
      </c>
      <c r="C164">
        <v>5186.33</v>
      </c>
      <c r="D164">
        <f t="shared" si="4"/>
        <v>-1.7846993625060419E-2</v>
      </c>
      <c r="E164">
        <f t="shared" si="5"/>
        <v>-3.0427045496882188E-2</v>
      </c>
    </row>
    <row r="165" spans="1:5" x14ac:dyDescent="0.35">
      <c r="A165" t="s">
        <v>165</v>
      </c>
      <c r="B165">
        <v>67.84</v>
      </c>
      <c r="C165">
        <v>5346.56</v>
      </c>
      <c r="D165">
        <f t="shared" si="4"/>
        <v>1.9950043821839139E-2</v>
      </c>
      <c r="E165">
        <f t="shared" si="5"/>
        <v>-1.8552885294602865E-2</v>
      </c>
    </row>
    <row r="166" spans="1:5" x14ac:dyDescent="0.35">
      <c r="A166" t="s">
        <v>166</v>
      </c>
      <c r="B166">
        <v>66.5</v>
      </c>
      <c r="C166">
        <v>5446.68</v>
      </c>
      <c r="D166">
        <f t="shared" si="4"/>
        <v>1.8209911379423169E-2</v>
      </c>
      <c r="E166">
        <f t="shared" si="5"/>
        <v>-1.3788191433053192E-2</v>
      </c>
    </row>
    <row r="167" spans="1:5" x14ac:dyDescent="0.35">
      <c r="A167" t="s">
        <v>167</v>
      </c>
      <c r="B167">
        <v>65.3</v>
      </c>
      <c r="C167">
        <v>5522.3</v>
      </c>
      <c r="D167">
        <f t="shared" si="4"/>
        <v>-1.3990495836714868E-2</v>
      </c>
      <c r="E167">
        <f t="shared" si="5"/>
        <v>1.567000529191805E-2</v>
      </c>
    </row>
    <row r="168" spans="1:5" x14ac:dyDescent="0.35">
      <c r="A168" t="s">
        <v>168</v>
      </c>
      <c r="B168">
        <v>66.22</v>
      </c>
      <c r="C168">
        <v>5436.44</v>
      </c>
      <c r="D168">
        <f t="shared" si="4"/>
        <v>1.2613190545915623E-2</v>
      </c>
      <c r="E168">
        <f t="shared" si="5"/>
        <v>-4.9724964337360253E-3</v>
      </c>
    </row>
    <row r="169" spans="1:5" x14ac:dyDescent="0.35">
      <c r="A169" t="s">
        <v>169</v>
      </c>
      <c r="B169">
        <v>65.39</v>
      </c>
      <c r="C169">
        <v>5463.54</v>
      </c>
      <c r="D169">
        <f t="shared" si="4"/>
        <v>-3.3587817836015694E-3</v>
      </c>
      <c r="E169">
        <f t="shared" si="5"/>
        <v>8.129903108684501E-4</v>
      </c>
    </row>
    <row r="170" spans="1:5" x14ac:dyDescent="0.35">
      <c r="A170" t="s">
        <v>170</v>
      </c>
      <c r="B170">
        <v>65.61</v>
      </c>
      <c r="C170">
        <v>5459.1</v>
      </c>
      <c r="D170">
        <f t="shared" si="4"/>
        <v>1.4740018138919633E-2</v>
      </c>
      <c r="E170">
        <f t="shared" si="5"/>
        <v>1.1029442312488889E-2</v>
      </c>
    </row>
    <row r="171" spans="1:5" x14ac:dyDescent="0.35">
      <c r="A171" t="s">
        <v>171</v>
      </c>
      <c r="B171">
        <v>64.650000000000006</v>
      </c>
      <c r="C171">
        <v>5399.22</v>
      </c>
      <c r="D171">
        <f t="shared" si="4"/>
        <v>4.0297636677744221E-3</v>
      </c>
      <c r="E171">
        <f t="shared" si="5"/>
        <v>-5.1559504042484414E-3</v>
      </c>
    </row>
    <row r="172" spans="1:5" x14ac:dyDescent="0.35">
      <c r="A172" t="s">
        <v>172</v>
      </c>
      <c r="B172">
        <v>64.39</v>
      </c>
      <c r="C172">
        <v>5427.13</v>
      </c>
      <c r="D172">
        <f t="shared" si="4"/>
        <v>1.2973999881576917E-2</v>
      </c>
      <c r="E172">
        <f t="shared" si="5"/>
        <v>-2.3421178443889513E-2</v>
      </c>
    </row>
    <row r="173" spans="1:5" x14ac:dyDescent="0.35">
      <c r="A173" t="s">
        <v>173</v>
      </c>
      <c r="B173">
        <v>63.56</v>
      </c>
      <c r="C173">
        <v>5555.74</v>
      </c>
      <c r="D173">
        <f t="shared" si="4"/>
        <v>2.8359874057405101E-3</v>
      </c>
      <c r="E173">
        <f t="shared" si="5"/>
        <v>-1.5593317997995005E-3</v>
      </c>
    </row>
    <row r="174" spans="1:5" x14ac:dyDescent="0.35">
      <c r="A174" t="s">
        <v>174</v>
      </c>
      <c r="B174">
        <v>63.38</v>
      </c>
      <c r="C174">
        <v>5564.41</v>
      </c>
      <c r="D174">
        <f t="shared" si="4"/>
        <v>-8.0145003514772144E-3</v>
      </c>
      <c r="E174">
        <f t="shared" si="5"/>
        <v>1.0734189165974961E-2</v>
      </c>
    </row>
    <row r="175" spans="1:5" x14ac:dyDescent="0.35">
      <c r="A175" t="s">
        <v>175</v>
      </c>
      <c r="B175">
        <v>63.89</v>
      </c>
      <c r="C175">
        <v>5505</v>
      </c>
      <c r="D175">
        <f t="shared" si="4"/>
        <v>1.5664163603879037E-3</v>
      </c>
      <c r="E175">
        <f t="shared" si="5"/>
        <v>-7.1659074070294041E-3</v>
      </c>
    </row>
    <row r="176" spans="1:5" x14ac:dyDescent="0.35">
      <c r="A176" t="s">
        <v>176</v>
      </c>
      <c r="B176">
        <v>63.79</v>
      </c>
      <c r="C176">
        <v>5544.59</v>
      </c>
      <c r="D176">
        <f t="shared" si="4"/>
        <v>-3.1347962639157411E-4</v>
      </c>
      <c r="E176">
        <f t="shared" si="5"/>
        <v>-7.8470804696827295E-3</v>
      </c>
    </row>
    <row r="177" spans="1:5" x14ac:dyDescent="0.35">
      <c r="A177" t="s">
        <v>177</v>
      </c>
      <c r="B177">
        <v>63.81</v>
      </c>
      <c r="C177">
        <v>5588.27</v>
      </c>
      <c r="D177">
        <f t="shared" si="4"/>
        <v>1.4522749324843494E-2</v>
      </c>
      <c r="E177">
        <f t="shared" si="5"/>
        <v>-1.4025410555021933E-2</v>
      </c>
    </row>
    <row r="178" spans="1:5" x14ac:dyDescent="0.35">
      <c r="A178" t="s">
        <v>178</v>
      </c>
      <c r="B178">
        <v>62.89</v>
      </c>
      <c r="C178">
        <v>5667.2</v>
      </c>
      <c r="D178">
        <f t="shared" si="4"/>
        <v>1.3446656904795786E-2</v>
      </c>
      <c r="E178">
        <f t="shared" si="5"/>
        <v>6.3690536600414091E-3</v>
      </c>
    </row>
    <row r="179" spans="1:5" x14ac:dyDescent="0.35">
      <c r="A179" t="s">
        <v>179</v>
      </c>
      <c r="B179">
        <v>62.05</v>
      </c>
      <c r="C179">
        <v>5631.22</v>
      </c>
      <c r="D179">
        <f t="shared" si="4"/>
        <v>-4.5023391701430526E-3</v>
      </c>
      <c r="E179">
        <f t="shared" si="5"/>
        <v>2.822195662042845E-3</v>
      </c>
    </row>
    <row r="180" spans="1:5" x14ac:dyDescent="0.35">
      <c r="A180" t="s">
        <v>180</v>
      </c>
      <c r="B180">
        <v>62.33</v>
      </c>
      <c r="C180">
        <v>5615.35</v>
      </c>
      <c r="D180">
        <f t="shared" si="4"/>
        <v>9.5108317467459368E-3</v>
      </c>
      <c r="E180">
        <f t="shared" si="5"/>
        <v>5.5018536287759819E-3</v>
      </c>
    </row>
    <row r="181" spans="1:5" x14ac:dyDescent="0.35">
      <c r="A181" t="s">
        <v>181</v>
      </c>
      <c r="B181">
        <v>61.74</v>
      </c>
      <c r="C181">
        <v>5584.54</v>
      </c>
      <c r="D181">
        <f t="shared" si="4"/>
        <v>4.2201004036181381E-3</v>
      </c>
      <c r="E181">
        <f t="shared" si="5"/>
        <v>-8.8016292301766504E-3</v>
      </c>
    </row>
    <row r="182" spans="1:5" x14ac:dyDescent="0.35">
      <c r="A182" t="s">
        <v>182</v>
      </c>
      <c r="B182">
        <v>61.48</v>
      </c>
      <c r="C182">
        <v>5633.91</v>
      </c>
      <c r="D182">
        <f t="shared" si="4"/>
        <v>2.2797599842894947E-3</v>
      </c>
      <c r="E182">
        <f t="shared" si="5"/>
        <v>1.0156283642139425E-2</v>
      </c>
    </row>
    <row r="183" spans="1:5" x14ac:dyDescent="0.35">
      <c r="A183" t="s">
        <v>183</v>
      </c>
      <c r="B183">
        <v>61.34</v>
      </c>
      <c r="C183">
        <v>5576.98</v>
      </c>
      <c r="D183">
        <f t="shared" si="4"/>
        <v>-4.3920363403738231E-3</v>
      </c>
      <c r="E183">
        <f t="shared" si="5"/>
        <v>7.4081850375864739E-4</v>
      </c>
    </row>
    <row r="184" spans="1:5" x14ac:dyDescent="0.35">
      <c r="A184" t="s">
        <v>184</v>
      </c>
      <c r="B184">
        <v>61.61</v>
      </c>
      <c r="C184">
        <v>5572.85</v>
      </c>
      <c r="D184">
        <f t="shared" si="4"/>
        <v>-1.2580811096215647E-2</v>
      </c>
      <c r="E184">
        <f t="shared" si="5"/>
        <v>1.0161544279964853E-3</v>
      </c>
    </row>
    <row r="185" spans="1:5" x14ac:dyDescent="0.35">
      <c r="A185" t="s">
        <v>185</v>
      </c>
      <c r="B185">
        <v>62.39</v>
      </c>
      <c r="C185">
        <v>5567.19</v>
      </c>
      <c r="D185">
        <f t="shared" si="4"/>
        <v>6.7546091486788912E-3</v>
      </c>
      <c r="E185">
        <f t="shared" si="5"/>
        <v>5.4339884131971751E-3</v>
      </c>
    </row>
    <row r="186" spans="1:5" x14ac:dyDescent="0.35">
      <c r="A186" t="s">
        <v>186</v>
      </c>
      <c r="B186">
        <v>61.97</v>
      </c>
      <c r="C186">
        <v>5537.02</v>
      </c>
      <c r="D186">
        <f t="shared" si="4"/>
        <v>2.9088579011278893E-3</v>
      </c>
      <c r="E186">
        <f t="shared" si="5"/>
        <v>5.0715161981972666E-3</v>
      </c>
    </row>
    <row r="187" spans="1:5" x14ac:dyDescent="0.35">
      <c r="A187" t="s">
        <v>187</v>
      </c>
      <c r="B187">
        <v>61.79</v>
      </c>
      <c r="C187">
        <v>5509.01</v>
      </c>
      <c r="D187">
        <f t="shared" si="4"/>
        <v>-2.1016902085835704E-3</v>
      </c>
      <c r="E187">
        <f t="shared" si="5"/>
        <v>6.1762197767835335E-3</v>
      </c>
    </row>
    <row r="188" spans="1:5" x14ac:dyDescent="0.35">
      <c r="A188" t="s">
        <v>188</v>
      </c>
      <c r="B188">
        <v>61.92</v>
      </c>
      <c r="C188">
        <v>5475.09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15CB-3A5A-4C55-ADC0-CD48E56C4FDC}">
  <sheetPr codeName="Sheet2"/>
  <dimension ref="A1:H188"/>
  <sheetViews>
    <sheetView topLeftCell="H13" workbookViewId="0">
      <selection activeCell="X40" sqref="X40"/>
    </sheetView>
  </sheetViews>
  <sheetFormatPr defaultRowHeight="14.5" x14ac:dyDescent="0.35"/>
  <cols>
    <col min="1" max="1" width="14.453125" customWidth="1"/>
    <col min="2" max="2" width="19" customWidth="1"/>
    <col min="3" max="3" width="21.453125" customWidth="1"/>
    <col min="4" max="4" width="18" customWidth="1"/>
    <col min="5" max="5" width="15.08984375" customWidth="1"/>
    <col min="6" max="6" width="10.6328125" customWidth="1"/>
    <col min="7" max="7" width="12.26953125" customWidth="1"/>
    <col min="8" max="8" width="18.36328125" customWidth="1"/>
  </cols>
  <sheetData>
    <row r="1" spans="1:8" x14ac:dyDescent="0.35">
      <c r="A1" t="s">
        <v>0</v>
      </c>
      <c r="B1" t="s">
        <v>214</v>
      </c>
      <c r="C1" t="s">
        <v>194</v>
      </c>
      <c r="D1" t="s">
        <v>202</v>
      </c>
      <c r="E1" t="s">
        <v>203</v>
      </c>
      <c r="F1" t="s">
        <v>204</v>
      </c>
      <c r="G1" t="s">
        <v>206</v>
      </c>
      <c r="H1" t="s">
        <v>205</v>
      </c>
    </row>
    <row r="2" spans="1:8" x14ac:dyDescent="0.35">
      <c r="A2" t="s">
        <v>2</v>
      </c>
      <c r="B2">
        <v>70.37</v>
      </c>
      <c r="C2">
        <f t="shared" ref="C2:C33" si="0">LN(B2/B3)</f>
        <v>-5.2441477988769145E-3</v>
      </c>
      <c r="D2">
        <f>AVERAGE(B2:B13)</f>
        <v>69.526666666666657</v>
      </c>
      <c r="E2">
        <f>AVERAGE(B2:B27)</f>
        <v>70.010769230769228</v>
      </c>
      <c r="F2">
        <f>D2-E2</f>
        <v>-0.48410256410257091</v>
      </c>
      <c r="G2">
        <f>AVERAGE(F2:F10)</f>
        <v>-0.3698098496707824</v>
      </c>
      <c r="H2">
        <f xml:space="preserve"> F2 - G2</f>
        <v>-0.11429271443178851</v>
      </c>
    </row>
    <row r="3" spans="1:8" x14ac:dyDescent="0.35">
      <c r="A3" t="s">
        <v>3</v>
      </c>
      <c r="B3">
        <v>70.739999999999995</v>
      </c>
      <c r="C3">
        <f t="shared" si="0"/>
        <v>1.0230268250814823E-2</v>
      </c>
      <c r="D3">
        <f t="shared" ref="D3:D34" si="1">(B3-D2)*(2/(12+1))+D2</f>
        <v>69.713333333333324</v>
      </c>
      <c r="E3">
        <f t="shared" ref="E3:E34" si="2" xml:space="preserve"> (B3 - E2) * (2 / (26 + 1)) + E2</f>
        <v>70.064786324786326</v>
      </c>
      <c r="F3">
        <f t="shared" ref="F3:F66" si="3">D3-E3</f>
        <v>-0.35145299145300157</v>
      </c>
      <c r="G3">
        <f xml:space="preserve"> (F3 - G2) * (2 / (9 + 1)) + G2</f>
        <v>-0.36613847802722621</v>
      </c>
      <c r="H3">
        <f t="shared" ref="H3:H66" si="4" xml:space="preserve"> F3 - G3</f>
        <v>1.4685486574224638E-2</v>
      </c>
    </row>
    <row r="4" spans="1:8" x14ac:dyDescent="0.35">
      <c r="A4" t="s">
        <v>4</v>
      </c>
      <c r="B4">
        <v>70.02</v>
      </c>
      <c r="C4">
        <f t="shared" si="0"/>
        <v>1.74318323121311E-2</v>
      </c>
      <c r="D4">
        <f t="shared" si="1"/>
        <v>69.760512820512815</v>
      </c>
      <c r="E4">
        <f t="shared" si="2"/>
        <v>70.061468819246599</v>
      </c>
      <c r="F4">
        <f t="shared" si="3"/>
        <v>-0.30095599873378376</v>
      </c>
      <c r="G4">
        <f t="shared" ref="G4:G67" si="5" xml:space="preserve"> (F4 - G3) * (2 / (9 + 1)) + G3</f>
        <v>-0.35310198216853772</v>
      </c>
      <c r="H4">
        <f t="shared" si="4"/>
        <v>5.2145983434753962E-2</v>
      </c>
    </row>
    <row r="5" spans="1:8" x14ac:dyDescent="0.35">
      <c r="A5" t="s">
        <v>5</v>
      </c>
      <c r="B5">
        <v>68.81</v>
      </c>
      <c r="C5">
        <f t="shared" si="0"/>
        <v>-2.0325210249223578E-3</v>
      </c>
      <c r="D5">
        <f t="shared" si="1"/>
        <v>69.614280078895462</v>
      </c>
      <c r="E5">
        <f t="shared" si="2"/>
        <v>69.968767425228336</v>
      </c>
      <c r="F5">
        <f t="shared" si="3"/>
        <v>-0.35448734633287415</v>
      </c>
      <c r="G5">
        <f t="shared" si="5"/>
        <v>-0.35337905500140498</v>
      </c>
      <c r="H5">
        <f t="shared" si="4"/>
        <v>-1.1082913314691689E-3</v>
      </c>
    </row>
    <row r="6" spans="1:8" x14ac:dyDescent="0.35">
      <c r="A6" t="s">
        <v>6</v>
      </c>
      <c r="B6">
        <v>68.95</v>
      </c>
      <c r="C6">
        <f t="shared" si="0"/>
        <v>4.0691816067257493E-3</v>
      </c>
      <c r="D6">
        <f t="shared" si="1"/>
        <v>69.512083143680769</v>
      </c>
      <c r="E6">
        <f t="shared" si="2"/>
        <v>69.893303171507725</v>
      </c>
      <c r="F6">
        <f t="shared" si="3"/>
        <v>-0.38122002782695574</v>
      </c>
      <c r="G6">
        <f t="shared" si="5"/>
        <v>-0.35894724956651514</v>
      </c>
      <c r="H6">
        <f t="shared" si="4"/>
        <v>-2.2272778260440607E-2</v>
      </c>
    </row>
    <row r="7" spans="1:8" x14ac:dyDescent="0.35">
      <c r="A7" t="s">
        <v>7</v>
      </c>
      <c r="B7">
        <v>68.67</v>
      </c>
      <c r="C7">
        <f t="shared" si="0"/>
        <v>-1.5031356865722214E-2</v>
      </c>
      <c r="D7">
        <f t="shared" si="1"/>
        <v>69.382531890806803</v>
      </c>
      <c r="E7">
        <f t="shared" si="2"/>
        <v>69.802688121766408</v>
      </c>
      <c r="F7">
        <f t="shared" si="3"/>
        <v>-0.42015623095960564</v>
      </c>
      <c r="G7">
        <f t="shared" si="5"/>
        <v>-0.37118904584513324</v>
      </c>
      <c r="H7">
        <f t="shared" si="4"/>
        <v>-4.89671851144724E-2</v>
      </c>
    </row>
    <row r="8" spans="1:8" x14ac:dyDescent="0.35">
      <c r="A8" t="s">
        <v>8</v>
      </c>
      <c r="B8">
        <v>69.709999999999994</v>
      </c>
      <c r="C8">
        <f t="shared" si="0"/>
        <v>6.1875152441275838E-3</v>
      </c>
      <c r="D8">
        <f t="shared" si="1"/>
        <v>69.432911599913453</v>
      </c>
      <c r="E8">
        <f t="shared" si="2"/>
        <v>69.795822334968889</v>
      </c>
      <c r="F8">
        <f t="shared" si="3"/>
        <v>-0.36291073505543636</v>
      </c>
      <c r="G8">
        <f t="shared" si="5"/>
        <v>-0.36953338368719385</v>
      </c>
      <c r="H8">
        <f t="shared" si="4"/>
        <v>6.6226486317574884E-3</v>
      </c>
    </row>
    <row r="9" spans="1:8" x14ac:dyDescent="0.35">
      <c r="A9" t="s">
        <v>9</v>
      </c>
      <c r="B9">
        <v>69.28</v>
      </c>
      <c r="C9">
        <f t="shared" si="0"/>
        <v>-1.4423772874238385E-3</v>
      </c>
      <c r="D9">
        <f t="shared" si="1"/>
        <v>69.409386738388307</v>
      </c>
      <c r="E9">
        <f t="shared" si="2"/>
        <v>69.757613273119347</v>
      </c>
      <c r="F9">
        <f t="shared" si="3"/>
        <v>-0.34822653473104026</v>
      </c>
      <c r="G9">
        <f t="shared" si="5"/>
        <v>-0.36527201389596314</v>
      </c>
      <c r="H9">
        <f t="shared" si="4"/>
        <v>1.7045479164922883E-2</v>
      </c>
    </row>
    <row r="10" spans="1:8" x14ac:dyDescent="0.35">
      <c r="A10" t="s">
        <v>10</v>
      </c>
      <c r="B10">
        <v>69.38</v>
      </c>
      <c r="C10">
        <f t="shared" si="0"/>
        <v>-1.0609418511430276E-2</v>
      </c>
      <c r="D10">
        <f t="shared" si="1"/>
        <v>69.404865701713177</v>
      </c>
      <c r="E10">
        <f t="shared" si="2"/>
        <v>69.72964191955495</v>
      </c>
      <c r="F10">
        <f t="shared" si="3"/>
        <v>-0.32477621784177302</v>
      </c>
      <c r="G10">
        <f t="shared" si="5"/>
        <v>-0.35717285468512511</v>
      </c>
      <c r="H10">
        <f t="shared" si="4"/>
        <v>3.2396636843352089E-2</v>
      </c>
    </row>
    <row r="11" spans="1:8" x14ac:dyDescent="0.35">
      <c r="A11" t="s">
        <v>11</v>
      </c>
      <c r="B11">
        <v>70.12</v>
      </c>
      <c r="C11">
        <f t="shared" si="0"/>
        <v>1.3785399237944064E-2</v>
      </c>
      <c r="D11">
        <f t="shared" si="1"/>
        <v>69.514886362988079</v>
      </c>
      <c r="E11">
        <f t="shared" si="2"/>
        <v>69.758557332921256</v>
      </c>
      <c r="F11">
        <f t="shared" si="3"/>
        <v>-0.24367096993317716</v>
      </c>
      <c r="G11">
        <f t="shared" si="5"/>
        <v>-0.33447247773473554</v>
      </c>
      <c r="H11">
        <f t="shared" si="4"/>
        <v>9.0801507801558379E-2</v>
      </c>
    </row>
    <row r="12" spans="1:8" x14ac:dyDescent="0.35">
      <c r="A12" t="s">
        <v>12</v>
      </c>
      <c r="B12">
        <v>69.16</v>
      </c>
      <c r="C12">
        <f t="shared" si="0"/>
        <v>7.2322271178681431E-4</v>
      </c>
      <c r="D12">
        <f t="shared" si="1"/>
        <v>69.460288460989915</v>
      </c>
      <c r="E12">
        <f t="shared" si="2"/>
        <v>69.714219752704864</v>
      </c>
      <c r="F12">
        <f t="shared" si="3"/>
        <v>-0.25393129171494877</v>
      </c>
      <c r="G12">
        <f t="shared" si="5"/>
        <v>-0.31836424053077816</v>
      </c>
      <c r="H12">
        <f t="shared" si="4"/>
        <v>6.4432948815829394E-2</v>
      </c>
    </row>
    <row r="13" spans="1:8" x14ac:dyDescent="0.35">
      <c r="A13" t="s">
        <v>13</v>
      </c>
      <c r="B13">
        <v>69.11</v>
      </c>
      <c r="C13">
        <f t="shared" si="0"/>
        <v>-4.6196126618791101E-3</v>
      </c>
      <c r="D13">
        <f t="shared" si="1"/>
        <v>69.406397928529927</v>
      </c>
      <c r="E13">
        <f t="shared" si="2"/>
        <v>69.669462733985981</v>
      </c>
      <c r="F13">
        <f t="shared" si="3"/>
        <v>-0.26306480545605382</v>
      </c>
      <c r="G13">
        <f t="shared" si="5"/>
        <v>-0.3073043535158333</v>
      </c>
      <c r="H13">
        <f t="shared" si="4"/>
        <v>4.4239548059779477E-2</v>
      </c>
    </row>
    <row r="14" spans="1:8" x14ac:dyDescent="0.35">
      <c r="A14" t="s">
        <v>14</v>
      </c>
      <c r="B14">
        <v>69.430000000000007</v>
      </c>
      <c r="C14">
        <f t="shared" si="0"/>
        <v>-1.5577306764487309E-2</v>
      </c>
      <c r="D14">
        <f t="shared" si="1"/>
        <v>69.410029016448405</v>
      </c>
      <c r="E14">
        <f t="shared" si="2"/>
        <v>69.651724753690729</v>
      </c>
      <c r="F14">
        <f t="shared" si="3"/>
        <v>-0.24169573724232407</v>
      </c>
      <c r="G14">
        <f t="shared" si="5"/>
        <v>-0.29418263026113145</v>
      </c>
      <c r="H14">
        <f t="shared" si="4"/>
        <v>5.2486893018807379E-2</v>
      </c>
    </row>
    <row r="15" spans="1:8" x14ac:dyDescent="0.35">
      <c r="A15" t="s">
        <v>15</v>
      </c>
      <c r="B15">
        <v>70.52</v>
      </c>
      <c r="C15">
        <f t="shared" si="0"/>
        <v>-5.797117684326069E-3</v>
      </c>
      <c r="D15">
        <f t="shared" si="1"/>
        <v>69.58079378314865</v>
      </c>
      <c r="E15">
        <f t="shared" si="2"/>
        <v>69.716041438602531</v>
      </c>
      <c r="F15">
        <f t="shared" si="3"/>
        <v>-0.13524765545388107</v>
      </c>
      <c r="G15">
        <f t="shared" si="5"/>
        <v>-0.26239563529968135</v>
      </c>
      <c r="H15">
        <f t="shared" si="4"/>
        <v>0.12714797984580029</v>
      </c>
    </row>
    <row r="16" spans="1:8" x14ac:dyDescent="0.35">
      <c r="A16" t="s">
        <v>16</v>
      </c>
      <c r="B16">
        <v>70.930000000000007</v>
      </c>
      <c r="C16">
        <f t="shared" si="0"/>
        <v>2.8200789809016433E-4</v>
      </c>
      <c r="D16">
        <f t="shared" si="1"/>
        <v>69.788363970356556</v>
      </c>
      <c r="E16">
        <f t="shared" si="2"/>
        <v>69.80596429500234</v>
      </c>
      <c r="F16">
        <f t="shared" si="3"/>
        <v>-1.7600324645783871E-2</v>
      </c>
      <c r="G16">
        <f t="shared" si="5"/>
        <v>-0.21343657316890186</v>
      </c>
      <c r="H16">
        <f t="shared" si="4"/>
        <v>0.19583624852311798</v>
      </c>
    </row>
    <row r="17" spans="1:8" x14ac:dyDescent="0.35">
      <c r="A17" t="s">
        <v>17</v>
      </c>
      <c r="B17">
        <v>70.91</v>
      </c>
      <c r="C17">
        <f t="shared" si="0"/>
        <v>1.3773735680675607E-2</v>
      </c>
      <c r="D17">
        <f t="shared" si="1"/>
        <v>69.960923359532472</v>
      </c>
      <c r="E17">
        <f t="shared" si="2"/>
        <v>69.887744717594757</v>
      </c>
      <c r="F17">
        <f t="shared" si="3"/>
        <v>7.3178641937715838E-2</v>
      </c>
      <c r="G17">
        <f t="shared" si="5"/>
        <v>-0.15611353014757831</v>
      </c>
      <c r="H17">
        <f t="shared" si="4"/>
        <v>0.22929217208529415</v>
      </c>
    </row>
    <row r="18" spans="1:8" x14ac:dyDescent="0.35">
      <c r="A18" t="s">
        <v>18</v>
      </c>
      <c r="B18">
        <v>69.94</v>
      </c>
      <c r="C18">
        <f t="shared" si="0"/>
        <v>5.3042916996799763E-3</v>
      </c>
      <c r="D18">
        <f t="shared" si="1"/>
        <v>69.957704381142861</v>
      </c>
      <c r="E18">
        <f t="shared" si="2"/>
        <v>69.891615479254398</v>
      </c>
      <c r="F18">
        <f t="shared" si="3"/>
        <v>6.608890188846317E-2</v>
      </c>
      <c r="G18">
        <f t="shared" si="5"/>
        <v>-0.11167304374037001</v>
      </c>
      <c r="H18">
        <f t="shared" si="4"/>
        <v>0.17776194562883318</v>
      </c>
    </row>
    <row r="19" spans="1:8" x14ac:dyDescent="0.35">
      <c r="A19" t="s">
        <v>19</v>
      </c>
      <c r="B19">
        <v>69.569999999999993</v>
      </c>
      <c r="C19">
        <f t="shared" si="0"/>
        <v>-1.579892608697613E-3</v>
      </c>
      <c r="D19">
        <f t="shared" si="1"/>
        <v>69.898057553274725</v>
      </c>
      <c r="E19">
        <f t="shared" si="2"/>
        <v>69.867792110420737</v>
      </c>
      <c r="F19">
        <f t="shared" si="3"/>
        <v>3.0265442853988134E-2</v>
      </c>
      <c r="G19">
        <f t="shared" si="5"/>
        <v>-8.3285346421498388E-2</v>
      </c>
      <c r="H19">
        <f t="shared" si="4"/>
        <v>0.11355078927548652</v>
      </c>
    </row>
    <row r="20" spans="1:8" x14ac:dyDescent="0.35">
      <c r="A20" t="s">
        <v>20</v>
      </c>
      <c r="B20">
        <v>69.680000000000007</v>
      </c>
      <c r="C20">
        <f t="shared" si="0"/>
        <v>-2.9831858044144288E-2</v>
      </c>
      <c r="D20">
        <f t="shared" si="1"/>
        <v>69.864510237386312</v>
      </c>
      <c r="E20">
        <f t="shared" si="2"/>
        <v>69.853881583722909</v>
      </c>
      <c r="F20">
        <f t="shared" si="3"/>
        <v>1.0628653663403043E-2</v>
      </c>
      <c r="G20">
        <f t="shared" si="5"/>
        <v>-6.4502546404518107E-2</v>
      </c>
      <c r="H20">
        <f t="shared" si="4"/>
        <v>7.513120006792115E-2</v>
      </c>
    </row>
    <row r="21" spans="1:8" x14ac:dyDescent="0.35">
      <c r="A21" t="s">
        <v>21</v>
      </c>
      <c r="B21">
        <v>71.790000000000006</v>
      </c>
      <c r="C21">
        <f t="shared" si="0"/>
        <v>1.5441070405529084E-2</v>
      </c>
      <c r="D21">
        <f t="shared" si="1"/>
        <v>70.160739431634568</v>
      </c>
      <c r="E21">
        <f t="shared" si="2"/>
        <v>69.997297762706395</v>
      </c>
      <c r="F21">
        <f t="shared" si="3"/>
        <v>0.16344166892817213</v>
      </c>
      <c r="G21">
        <f t="shared" si="5"/>
        <v>-1.8913703337980058E-2</v>
      </c>
      <c r="H21">
        <f t="shared" si="4"/>
        <v>0.1823553722661522</v>
      </c>
    </row>
    <row r="22" spans="1:8" x14ac:dyDescent="0.35">
      <c r="A22" t="s">
        <v>22</v>
      </c>
      <c r="B22">
        <v>70.69</v>
      </c>
      <c r="C22">
        <f t="shared" si="0"/>
        <v>4.8213366224647107E-3</v>
      </c>
      <c r="D22">
        <f t="shared" si="1"/>
        <v>70.242164134460012</v>
      </c>
      <c r="E22">
        <f t="shared" si="2"/>
        <v>70.048609039542953</v>
      </c>
      <c r="F22">
        <f t="shared" si="3"/>
        <v>0.19355509491705902</v>
      </c>
      <c r="G22">
        <f t="shared" si="5"/>
        <v>2.3580056313027765E-2</v>
      </c>
      <c r="H22">
        <f t="shared" si="4"/>
        <v>0.16997503860403126</v>
      </c>
    </row>
    <row r="23" spans="1:8" x14ac:dyDescent="0.35">
      <c r="A23" t="s">
        <v>23</v>
      </c>
      <c r="B23">
        <v>70.349999999999994</v>
      </c>
      <c r="C23">
        <f t="shared" si="0"/>
        <v>9.9552024150161966E-4</v>
      </c>
      <c r="D23">
        <f t="shared" si="1"/>
        <v>70.258754267620006</v>
      </c>
      <c r="E23">
        <f t="shared" si="2"/>
        <v>70.070934295873101</v>
      </c>
      <c r="F23">
        <f t="shared" si="3"/>
        <v>0.18781997174690446</v>
      </c>
      <c r="G23">
        <f t="shared" si="5"/>
        <v>5.6428039399803107E-2</v>
      </c>
      <c r="H23">
        <f t="shared" si="4"/>
        <v>0.13139193234710134</v>
      </c>
    </row>
    <row r="24" spans="1:8" x14ac:dyDescent="0.35">
      <c r="A24" t="s">
        <v>24</v>
      </c>
      <c r="B24">
        <v>70.28</v>
      </c>
      <c r="C24">
        <f t="shared" si="0"/>
        <v>-9.7699892179950714E-3</v>
      </c>
      <c r="D24">
        <f t="shared" si="1"/>
        <v>70.262022841832319</v>
      </c>
      <c r="E24">
        <f t="shared" si="2"/>
        <v>70.08642064432695</v>
      </c>
      <c r="F24">
        <f t="shared" si="3"/>
        <v>0.17560219750536987</v>
      </c>
      <c r="G24">
        <f t="shared" si="5"/>
        <v>8.0262871020916463E-2</v>
      </c>
      <c r="H24">
        <f t="shared" si="4"/>
        <v>9.533932648445341E-2</v>
      </c>
    </row>
    <row r="25" spans="1:8" x14ac:dyDescent="0.35">
      <c r="A25" t="s">
        <v>25</v>
      </c>
      <c r="B25">
        <v>70.97</v>
      </c>
      <c r="C25">
        <f t="shared" si="0"/>
        <v>1.2762510154449128E-2</v>
      </c>
      <c r="D25">
        <f t="shared" si="1"/>
        <v>70.370942404627343</v>
      </c>
      <c r="E25">
        <f t="shared" si="2"/>
        <v>70.151870966969398</v>
      </c>
      <c r="F25">
        <f t="shared" si="3"/>
        <v>0.21907143765794501</v>
      </c>
      <c r="G25">
        <f t="shared" si="5"/>
        <v>0.10802458434832218</v>
      </c>
      <c r="H25">
        <f t="shared" si="4"/>
        <v>0.11104685330962283</v>
      </c>
    </row>
    <row r="26" spans="1:8" x14ac:dyDescent="0.35">
      <c r="A26" t="s">
        <v>26</v>
      </c>
      <c r="B26">
        <v>70.069999999999993</v>
      </c>
      <c r="C26">
        <f t="shared" si="0"/>
        <v>-1.0787897383088826E-2</v>
      </c>
      <c r="D26">
        <f t="shared" si="1"/>
        <v>70.324643573146219</v>
      </c>
      <c r="E26">
        <f t="shared" si="2"/>
        <v>70.145806450897595</v>
      </c>
      <c r="F26">
        <f t="shared" si="3"/>
        <v>0.17883712224862336</v>
      </c>
      <c r="G26">
        <f t="shared" si="5"/>
        <v>0.12218709192838242</v>
      </c>
      <c r="H26">
        <f t="shared" si="4"/>
        <v>5.6650030320240935E-2</v>
      </c>
    </row>
    <row r="27" spans="1:8" x14ac:dyDescent="0.35">
      <c r="A27" t="s">
        <v>27</v>
      </c>
      <c r="B27">
        <v>70.83</v>
      </c>
      <c r="C27">
        <f t="shared" si="0"/>
        <v>1.8524325654604643E-2</v>
      </c>
      <c r="D27">
        <f t="shared" si="1"/>
        <v>70.402390715739102</v>
      </c>
      <c r="E27">
        <f t="shared" si="2"/>
        <v>70.196487454534804</v>
      </c>
      <c r="F27">
        <f t="shared" si="3"/>
        <v>0.20590326120429836</v>
      </c>
      <c r="G27">
        <f t="shared" si="5"/>
        <v>0.13893032578356562</v>
      </c>
      <c r="H27">
        <f t="shared" si="4"/>
        <v>6.6972935420732738E-2</v>
      </c>
    </row>
    <row r="28" spans="1:8" x14ac:dyDescent="0.35">
      <c r="A28" t="s">
        <v>28</v>
      </c>
      <c r="B28">
        <v>69.53</v>
      </c>
      <c r="C28">
        <f t="shared" si="0"/>
        <v>-4.3137537515581495E-4</v>
      </c>
      <c r="D28">
        <f t="shared" si="1"/>
        <v>70.268176759471544</v>
      </c>
      <c r="E28">
        <f t="shared" si="2"/>
        <v>70.147118013458154</v>
      </c>
      <c r="F28">
        <f t="shared" si="3"/>
        <v>0.1210587460133894</v>
      </c>
      <c r="G28">
        <f t="shared" si="5"/>
        <v>0.13535600982953039</v>
      </c>
      <c r="H28">
        <f t="shared" si="4"/>
        <v>-1.4297263816140993E-2</v>
      </c>
    </row>
    <row r="29" spans="1:8" x14ac:dyDescent="0.35">
      <c r="A29" t="s">
        <v>29</v>
      </c>
      <c r="B29">
        <v>69.56</v>
      </c>
      <c r="C29">
        <f t="shared" si="0"/>
        <v>1.4772173039619483E-2</v>
      </c>
      <c r="D29">
        <f t="shared" si="1"/>
        <v>70.159226488783617</v>
      </c>
      <c r="E29">
        <f t="shared" si="2"/>
        <v>70.103627790239031</v>
      </c>
      <c r="F29">
        <f t="shared" si="3"/>
        <v>5.5598698544585545E-2</v>
      </c>
      <c r="G29">
        <f t="shared" si="5"/>
        <v>0.11940454757254142</v>
      </c>
      <c r="H29">
        <f t="shared" si="4"/>
        <v>-6.3805849027955872E-2</v>
      </c>
    </row>
    <row r="30" spans="1:8" x14ac:dyDescent="0.35">
      <c r="A30" t="s">
        <v>30</v>
      </c>
      <c r="B30">
        <v>68.540000000000006</v>
      </c>
      <c r="C30">
        <f t="shared" si="0"/>
        <v>2.4833845207602842E-3</v>
      </c>
      <c r="D30">
        <f t="shared" si="1"/>
        <v>69.910114721278447</v>
      </c>
      <c r="E30">
        <f t="shared" si="2"/>
        <v>69.987803509480585</v>
      </c>
      <c r="F30">
        <f t="shared" si="3"/>
        <v>-7.7688788202138426E-2</v>
      </c>
      <c r="G30">
        <f t="shared" si="5"/>
        <v>7.9985880417605446E-2</v>
      </c>
      <c r="H30">
        <f t="shared" si="4"/>
        <v>-0.15767466861974389</v>
      </c>
    </row>
    <row r="31" spans="1:8" x14ac:dyDescent="0.35">
      <c r="A31" t="s">
        <v>31</v>
      </c>
      <c r="B31">
        <v>68.37</v>
      </c>
      <c r="C31">
        <f t="shared" si="0"/>
        <v>-9.0274346323146529E-3</v>
      </c>
      <c r="D31">
        <f t="shared" si="1"/>
        <v>69.673173994927922</v>
      </c>
      <c r="E31">
        <f t="shared" si="2"/>
        <v>69.867966212482017</v>
      </c>
      <c r="F31">
        <f t="shared" si="3"/>
        <v>-0.19479221755409526</v>
      </c>
      <c r="G31">
        <f t="shared" si="5"/>
        <v>2.5030260823265302E-2</v>
      </c>
      <c r="H31">
        <f t="shared" si="4"/>
        <v>-0.21982247837736058</v>
      </c>
    </row>
    <row r="32" spans="1:8" x14ac:dyDescent="0.35">
      <c r="A32" t="s">
        <v>32</v>
      </c>
      <c r="B32">
        <v>68.989999999999995</v>
      </c>
      <c r="C32">
        <f t="shared" si="0"/>
        <v>1.1370384891389338E-2</v>
      </c>
      <c r="D32">
        <f t="shared" si="1"/>
        <v>69.568070303400546</v>
      </c>
      <c r="E32">
        <f t="shared" si="2"/>
        <v>69.802931678224084</v>
      </c>
      <c r="F32">
        <f t="shared" si="3"/>
        <v>-0.23486137482353797</v>
      </c>
      <c r="G32">
        <f t="shared" si="5"/>
        <v>-2.6948066306095357E-2</v>
      </c>
      <c r="H32">
        <f t="shared" si="4"/>
        <v>-0.20791330851744261</v>
      </c>
    </row>
    <row r="33" spans="1:8" x14ac:dyDescent="0.35">
      <c r="A33" t="s">
        <v>33</v>
      </c>
      <c r="B33">
        <v>68.209999999999994</v>
      </c>
      <c r="C33">
        <f t="shared" si="0"/>
        <v>1.6407137688991772E-2</v>
      </c>
      <c r="D33">
        <f t="shared" si="1"/>
        <v>69.35913641056969</v>
      </c>
      <c r="E33">
        <f t="shared" si="2"/>
        <v>69.684936739096372</v>
      </c>
      <c r="F33">
        <f t="shared" si="3"/>
        <v>-0.32580032852668239</v>
      </c>
      <c r="G33">
        <f t="shared" si="5"/>
        <v>-8.6718518750212775E-2</v>
      </c>
      <c r="H33">
        <f t="shared" si="4"/>
        <v>-0.23908180977646962</v>
      </c>
    </row>
    <row r="34" spans="1:8" x14ac:dyDescent="0.35">
      <c r="A34" t="s">
        <v>34</v>
      </c>
      <c r="B34">
        <v>67.099999999999994</v>
      </c>
      <c r="C34">
        <f t="shared" ref="C34:C65" si="6">LN(B34/B35)</f>
        <v>4.6051741217532173E-2</v>
      </c>
      <c r="D34">
        <f t="shared" si="1"/>
        <v>69.011576962789732</v>
      </c>
      <c r="E34">
        <f t="shared" si="2"/>
        <v>69.493459943607746</v>
      </c>
      <c r="F34">
        <f t="shared" si="3"/>
        <v>-0.48188298081801406</v>
      </c>
      <c r="G34">
        <f t="shared" si="5"/>
        <v>-0.16575141116377304</v>
      </c>
      <c r="H34">
        <f t="shared" si="4"/>
        <v>-0.31613156965424105</v>
      </c>
    </row>
    <row r="35" spans="1:8" x14ac:dyDescent="0.35">
      <c r="A35" t="s">
        <v>35</v>
      </c>
      <c r="B35">
        <v>64.08</v>
      </c>
      <c r="C35">
        <f t="shared" si="6"/>
        <v>1.1141739424678191E-2</v>
      </c>
      <c r="D35">
        <f t="shared" ref="D35:D66" si="7">(B35-D34)*(2/(12+1))+D34</f>
        <v>68.252872814668237</v>
      </c>
      <c r="E35">
        <f t="shared" ref="E35:E66" si="8" xml:space="preserve"> (B35 - E34) * (2 / (26 + 1)) + E34</f>
        <v>69.092462910747912</v>
      </c>
      <c r="F35">
        <f t="shared" si="3"/>
        <v>-0.83959009607967516</v>
      </c>
      <c r="G35">
        <f t="shared" si="5"/>
        <v>-0.30051914814695346</v>
      </c>
      <c r="H35">
        <f t="shared" si="4"/>
        <v>-0.5390709479327217</v>
      </c>
    </row>
    <row r="36" spans="1:8" x14ac:dyDescent="0.35">
      <c r="A36" t="s">
        <v>36</v>
      </c>
      <c r="B36">
        <v>63.37</v>
      </c>
      <c r="C36">
        <f t="shared" si="6"/>
        <v>7.4443996290306331E-3</v>
      </c>
      <c r="D36">
        <f t="shared" si="7"/>
        <v>67.501661612411581</v>
      </c>
      <c r="E36">
        <f t="shared" si="8"/>
        <v>68.668576769211029</v>
      </c>
      <c r="F36">
        <f t="shared" si="3"/>
        <v>-1.1669151567994476</v>
      </c>
      <c r="G36">
        <f t="shared" si="5"/>
        <v>-0.47379834987745229</v>
      </c>
      <c r="H36">
        <f t="shared" si="4"/>
        <v>-0.69311680692199529</v>
      </c>
    </row>
    <row r="37" spans="1:8" x14ac:dyDescent="0.35">
      <c r="A37" t="s">
        <v>37</v>
      </c>
      <c r="B37">
        <v>62.9</v>
      </c>
      <c r="C37">
        <f t="shared" si="6"/>
        <v>3.822878182349154E-3</v>
      </c>
      <c r="D37">
        <f t="shared" si="7"/>
        <v>66.793713672040568</v>
      </c>
      <c r="E37">
        <f t="shared" si="8"/>
        <v>68.241274786306505</v>
      </c>
      <c r="F37">
        <f t="shared" si="3"/>
        <v>-1.4475611142659375</v>
      </c>
      <c r="G37">
        <f t="shared" si="5"/>
        <v>-0.66855090275514928</v>
      </c>
      <c r="H37">
        <f t="shared" si="4"/>
        <v>-0.7790102115107882</v>
      </c>
    </row>
    <row r="38" spans="1:8" x14ac:dyDescent="0.35">
      <c r="A38" t="s">
        <v>38</v>
      </c>
      <c r="B38">
        <v>62.66</v>
      </c>
      <c r="C38">
        <f t="shared" si="6"/>
        <v>7.207526997117155E-3</v>
      </c>
      <c r="D38">
        <f t="shared" si="7"/>
        <v>66.157757722495859</v>
      </c>
      <c r="E38">
        <f t="shared" si="8"/>
        <v>67.827847024357879</v>
      </c>
      <c r="F38">
        <f t="shared" si="3"/>
        <v>-1.6700893018620206</v>
      </c>
      <c r="G38">
        <f t="shared" si="5"/>
        <v>-0.8688585825765236</v>
      </c>
      <c r="H38">
        <f t="shared" si="4"/>
        <v>-0.80123071928549705</v>
      </c>
    </row>
    <row r="39" spans="1:8" x14ac:dyDescent="0.35">
      <c r="A39" t="s">
        <v>39</v>
      </c>
      <c r="B39">
        <v>62.21</v>
      </c>
      <c r="C39">
        <f t="shared" si="6"/>
        <v>-1.0871410028483557E-2</v>
      </c>
      <c r="D39">
        <f t="shared" si="7"/>
        <v>65.550410380573425</v>
      </c>
      <c r="E39">
        <f t="shared" si="8"/>
        <v>67.411710207738778</v>
      </c>
      <c r="F39">
        <f t="shared" si="3"/>
        <v>-1.8612998271653538</v>
      </c>
      <c r="G39">
        <f t="shared" si="5"/>
        <v>-1.0673468314942895</v>
      </c>
      <c r="H39">
        <f t="shared" si="4"/>
        <v>-0.79395299567106425</v>
      </c>
    </row>
    <row r="40" spans="1:8" x14ac:dyDescent="0.35">
      <c r="A40" t="s">
        <v>40</v>
      </c>
      <c r="B40">
        <v>62.89</v>
      </c>
      <c r="C40">
        <f t="shared" si="6"/>
        <v>-1.9062753985520928E-3</v>
      </c>
      <c r="D40">
        <f t="shared" si="7"/>
        <v>65.141116475869822</v>
      </c>
      <c r="E40">
        <f t="shared" si="8"/>
        <v>67.076768710869246</v>
      </c>
      <c r="F40">
        <f t="shared" si="3"/>
        <v>-1.9356522349994236</v>
      </c>
      <c r="G40">
        <f t="shared" si="5"/>
        <v>-1.2410079121953164</v>
      </c>
      <c r="H40">
        <f t="shared" si="4"/>
        <v>-0.69464432280410726</v>
      </c>
    </row>
    <row r="41" spans="1:8" x14ac:dyDescent="0.35">
      <c r="A41" t="s">
        <v>41</v>
      </c>
      <c r="B41">
        <v>63.01</v>
      </c>
      <c r="C41">
        <f t="shared" si="6"/>
        <v>-9.0055115286925367E-3</v>
      </c>
      <c r="D41">
        <f t="shared" si="7"/>
        <v>64.813252402659074</v>
      </c>
      <c r="E41">
        <f t="shared" si="8"/>
        <v>66.775526584138191</v>
      </c>
      <c r="F41">
        <f t="shared" si="3"/>
        <v>-1.9622741814791169</v>
      </c>
      <c r="G41">
        <f t="shared" si="5"/>
        <v>-1.3852611660520764</v>
      </c>
      <c r="H41">
        <f t="shared" si="4"/>
        <v>-0.57701301542704053</v>
      </c>
    </row>
    <row r="42" spans="1:8" x14ac:dyDescent="0.35">
      <c r="A42" t="s">
        <v>42</v>
      </c>
      <c r="B42">
        <v>63.58</v>
      </c>
      <c r="C42">
        <f t="shared" si="6"/>
        <v>1.9214564944625454E-2</v>
      </c>
      <c r="D42">
        <f t="shared" si="7"/>
        <v>64.623521263788447</v>
      </c>
      <c r="E42">
        <f t="shared" si="8"/>
        <v>66.538820911239071</v>
      </c>
      <c r="F42">
        <f t="shared" si="3"/>
        <v>-1.9152996474506239</v>
      </c>
      <c r="G42">
        <f t="shared" si="5"/>
        <v>-1.4912688623317858</v>
      </c>
      <c r="H42">
        <f t="shared" si="4"/>
        <v>-0.42403078511883807</v>
      </c>
    </row>
    <row r="43" spans="1:8" x14ac:dyDescent="0.35">
      <c r="A43" t="s">
        <v>43</v>
      </c>
      <c r="B43">
        <v>62.37</v>
      </c>
      <c r="C43">
        <f t="shared" si="6"/>
        <v>7.5642108474808616E-3</v>
      </c>
      <c r="D43">
        <f t="shared" si="7"/>
        <v>64.276825684744068</v>
      </c>
      <c r="E43">
        <f t="shared" si="8"/>
        <v>66.230019362258403</v>
      </c>
      <c r="F43">
        <f t="shared" si="3"/>
        <v>-1.953193677514335</v>
      </c>
      <c r="G43">
        <f t="shared" si="5"/>
        <v>-1.5836538253682957</v>
      </c>
      <c r="H43">
        <f t="shared" si="4"/>
        <v>-0.36953985214603935</v>
      </c>
    </row>
    <row r="44" spans="1:8" x14ac:dyDescent="0.35">
      <c r="A44" t="s">
        <v>44</v>
      </c>
      <c r="B44">
        <v>61.9</v>
      </c>
      <c r="C44">
        <f t="shared" si="6"/>
        <v>-2.3943681752629783E-2</v>
      </c>
      <c r="D44">
        <f t="shared" si="7"/>
        <v>63.911160194783442</v>
      </c>
      <c r="E44">
        <f t="shared" si="8"/>
        <v>65.909277187276302</v>
      </c>
      <c r="F44">
        <f t="shared" si="3"/>
        <v>-1.9981169924928608</v>
      </c>
      <c r="G44">
        <f t="shared" si="5"/>
        <v>-1.6665464587932086</v>
      </c>
      <c r="H44">
        <f t="shared" si="4"/>
        <v>-0.33157053369965217</v>
      </c>
    </row>
    <row r="45" spans="1:8" x14ac:dyDescent="0.35">
      <c r="A45" t="s">
        <v>45</v>
      </c>
      <c r="B45">
        <v>63.4</v>
      </c>
      <c r="C45">
        <f t="shared" si="6"/>
        <v>3.0914610524262226E-2</v>
      </c>
      <c r="D45">
        <f t="shared" si="7"/>
        <v>63.832520164816756</v>
      </c>
      <c r="E45">
        <f t="shared" si="8"/>
        <v>65.723404803033617</v>
      </c>
      <c r="F45">
        <f t="shared" si="3"/>
        <v>-1.8908846382168605</v>
      </c>
      <c r="G45">
        <f t="shared" si="5"/>
        <v>-1.711414094677939</v>
      </c>
      <c r="H45">
        <f t="shared" si="4"/>
        <v>-0.17947054353892145</v>
      </c>
    </row>
    <row r="46" spans="1:8" x14ac:dyDescent="0.35">
      <c r="A46" t="s">
        <v>46</v>
      </c>
      <c r="B46">
        <v>61.47</v>
      </c>
      <c r="C46">
        <f t="shared" si="6"/>
        <v>6.3647705684864815E-3</v>
      </c>
      <c r="D46">
        <f t="shared" si="7"/>
        <v>63.469055524075713</v>
      </c>
      <c r="E46">
        <f t="shared" si="8"/>
        <v>65.408337780586677</v>
      </c>
      <c r="F46">
        <f t="shared" si="3"/>
        <v>-1.939282256510964</v>
      </c>
      <c r="G46">
        <f t="shared" si="5"/>
        <v>-1.756987727044544</v>
      </c>
      <c r="H46">
        <f t="shared" si="4"/>
        <v>-0.18229452946642</v>
      </c>
    </row>
    <row r="47" spans="1:8" x14ac:dyDescent="0.35">
      <c r="A47" t="s">
        <v>47</v>
      </c>
      <c r="B47">
        <v>61.08</v>
      </c>
      <c r="C47">
        <f t="shared" si="6"/>
        <v>-4.0846392874607082E-3</v>
      </c>
      <c r="D47">
        <f t="shared" si="7"/>
        <v>63.101508520371759</v>
      </c>
      <c r="E47">
        <f t="shared" si="8"/>
        <v>65.087720167209881</v>
      </c>
      <c r="F47">
        <f t="shared" si="3"/>
        <v>-1.9862116468381217</v>
      </c>
      <c r="G47">
        <f t="shared" si="5"/>
        <v>-1.8028325110032595</v>
      </c>
      <c r="H47">
        <f t="shared" si="4"/>
        <v>-0.18337913583486221</v>
      </c>
    </row>
    <row r="48" spans="1:8" x14ac:dyDescent="0.35">
      <c r="A48" t="s">
        <v>48</v>
      </c>
      <c r="B48">
        <v>61.33</v>
      </c>
      <c r="C48">
        <f t="shared" si="6"/>
        <v>-1.0219895910775529E-2</v>
      </c>
      <c r="D48">
        <f t="shared" si="7"/>
        <v>62.828968748006872</v>
      </c>
      <c r="E48">
        <f t="shared" si="8"/>
        <v>64.809370525194339</v>
      </c>
      <c r="F48">
        <f t="shared" si="3"/>
        <v>-1.9804017771874669</v>
      </c>
      <c r="G48">
        <f t="shared" si="5"/>
        <v>-1.838346364240101</v>
      </c>
      <c r="H48">
        <f t="shared" si="4"/>
        <v>-0.1420554129473659</v>
      </c>
    </row>
    <row r="49" spans="1:8" x14ac:dyDescent="0.35">
      <c r="A49" t="s">
        <v>49</v>
      </c>
      <c r="B49">
        <v>61.96</v>
      </c>
      <c r="C49">
        <f t="shared" si="6"/>
        <v>-4.6695197961491323E-3</v>
      </c>
      <c r="D49">
        <f t="shared" si="7"/>
        <v>62.695281248313506</v>
      </c>
      <c r="E49">
        <f t="shared" si="8"/>
        <v>64.598306041846612</v>
      </c>
      <c r="F49">
        <f t="shared" si="3"/>
        <v>-1.9030247935331062</v>
      </c>
      <c r="G49">
        <f t="shared" si="5"/>
        <v>-1.8512820500987019</v>
      </c>
      <c r="H49">
        <f t="shared" si="4"/>
        <v>-5.1742743434404215E-2</v>
      </c>
    </row>
    <row r="50" spans="1:8" x14ac:dyDescent="0.35">
      <c r="A50" t="s">
        <v>50</v>
      </c>
      <c r="B50">
        <v>62.25</v>
      </c>
      <c r="C50">
        <f t="shared" si="6"/>
        <v>7.4169962719287282E-3</v>
      </c>
      <c r="D50">
        <f t="shared" si="7"/>
        <v>62.626776440880661</v>
      </c>
      <c r="E50">
        <f t="shared" si="8"/>
        <v>64.424357446154275</v>
      </c>
      <c r="F50">
        <f t="shared" si="3"/>
        <v>-1.7975810052736136</v>
      </c>
      <c r="G50">
        <f t="shared" si="5"/>
        <v>-1.8405418411336842</v>
      </c>
      <c r="H50">
        <f t="shared" si="4"/>
        <v>4.2960835860070601E-2</v>
      </c>
    </row>
    <row r="51" spans="1:8" x14ac:dyDescent="0.35">
      <c r="A51" t="s">
        <v>51</v>
      </c>
      <c r="B51">
        <v>61.79</v>
      </c>
      <c r="C51">
        <f t="shared" si="6"/>
        <v>7.6354850692747379E-3</v>
      </c>
      <c r="D51">
        <f t="shared" si="7"/>
        <v>62.498041603822095</v>
      </c>
      <c r="E51">
        <f t="shared" si="8"/>
        <v>64.229219857550248</v>
      </c>
      <c r="F51">
        <f t="shared" si="3"/>
        <v>-1.731178253728153</v>
      </c>
      <c r="G51">
        <f t="shared" si="5"/>
        <v>-1.818669123652578</v>
      </c>
      <c r="H51">
        <f t="shared" si="4"/>
        <v>8.7490869924425008E-2</v>
      </c>
    </row>
    <row r="52" spans="1:8" x14ac:dyDescent="0.35">
      <c r="A52" t="s">
        <v>52</v>
      </c>
      <c r="B52">
        <v>61.32</v>
      </c>
      <c r="C52">
        <f t="shared" si="6"/>
        <v>-4.3934656953385377E-3</v>
      </c>
      <c r="D52">
        <f t="shared" si="7"/>
        <v>62.316804434003309</v>
      </c>
      <c r="E52">
        <f t="shared" si="8"/>
        <v>64.013722090324308</v>
      </c>
      <c r="F52">
        <f t="shared" si="3"/>
        <v>-1.6969176563209984</v>
      </c>
      <c r="G52">
        <f t="shared" si="5"/>
        <v>-1.794318830186262</v>
      </c>
      <c r="H52">
        <f t="shared" si="4"/>
        <v>9.7401173865263591E-2</v>
      </c>
    </row>
    <row r="53" spans="1:8" x14ac:dyDescent="0.35">
      <c r="A53" t="s">
        <v>53</v>
      </c>
      <c r="B53">
        <v>61.59</v>
      </c>
      <c r="C53">
        <f t="shared" si="6"/>
        <v>6.3523301806714741E-3</v>
      </c>
      <c r="D53">
        <f t="shared" si="7"/>
        <v>62.204988367233568</v>
      </c>
      <c r="E53">
        <f t="shared" si="8"/>
        <v>63.834187120670656</v>
      </c>
      <c r="F53">
        <f t="shared" si="3"/>
        <v>-1.6291987534370875</v>
      </c>
      <c r="G53">
        <f t="shared" si="5"/>
        <v>-1.7612948148364271</v>
      </c>
      <c r="H53">
        <f t="shared" si="4"/>
        <v>0.1320960613993396</v>
      </c>
    </row>
    <row r="54" spans="1:8" x14ac:dyDescent="0.35">
      <c r="A54" t="s">
        <v>54</v>
      </c>
      <c r="B54">
        <v>61.2</v>
      </c>
      <c r="C54">
        <f t="shared" si="6"/>
        <v>9.5223178886234376E-3</v>
      </c>
      <c r="D54">
        <f t="shared" si="7"/>
        <v>62.050374772274559</v>
      </c>
      <c r="E54">
        <f t="shared" si="8"/>
        <v>63.639062148769128</v>
      </c>
      <c r="F54">
        <f t="shared" si="3"/>
        <v>-1.588687376494569</v>
      </c>
      <c r="G54">
        <f t="shared" si="5"/>
        <v>-1.7267733271680554</v>
      </c>
      <c r="H54">
        <f t="shared" si="4"/>
        <v>0.13808595067348639</v>
      </c>
    </row>
    <row r="55" spans="1:8" x14ac:dyDescent="0.35">
      <c r="A55" t="s">
        <v>55</v>
      </c>
      <c r="B55">
        <v>60.62</v>
      </c>
      <c r="C55">
        <f t="shared" si="6"/>
        <v>-1.0502229774972135E-2</v>
      </c>
      <c r="D55">
        <f t="shared" si="7"/>
        <v>61.830317115001549</v>
      </c>
      <c r="E55">
        <f t="shared" si="8"/>
        <v>63.415427915526969</v>
      </c>
      <c r="F55">
        <f t="shared" si="3"/>
        <v>-1.5851108005254204</v>
      </c>
      <c r="G55">
        <f t="shared" si="5"/>
        <v>-1.6984408218395284</v>
      </c>
      <c r="H55">
        <f t="shared" si="4"/>
        <v>0.11333002131410796</v>
      </c>
    </row>
    <row r="56" spans="1:8" x14ac:dyDescent="0.35">
      <c r="A56" t="s">
        <v>56</v>
      </c>
      <c r="B56">
        <v>61.26</v>
      </c>
      <c r="C56">
        <f t="shared" si="6"/>
        <v>1.4303573084819436E-2</v>
      </c>
      <c r="D56">
        <f t="shared" si="7"/>
        <v>61.742576020385926</v>
      </c>
      <c r="E56">
        <f t="shared" si="8"/>
        <v>63.255766588450896</v>
      </c>
      <c r="F56">
        <f t="shared" si="3"/>
        <v>-1.5131905680649709</v>
      </c>
      <c r="G56">
        <f t="shared" si="5"/>
        <v>-1.661390771084617</v>
      </c>
      <c r="H56">
        <f t="shared" si="4"/>
        <v>0.14820020301964609</v>
      </c>
    </row>
    <row r="57" spans="1:8" x14ac:dyDescent="0.35">
      <c r="A57" t="s">
        <v>57</v>
      </c>
      <c r="B57">
        <v>60.39</v>
      </c>
      <c r="C57">
        <f t="shared" si="6"/>
        <v>4.968944201617485E-4</v>
      </c>
      <c r="D57">
        <f t="shared" si="7"/>
        <v>61.534487401865015</v>
      </c>
      <c r="E57">
        <f t="shared" si="8"/>
        <v>63.043487581898979</v>
      </c>
      <c r="F57">
        <f t="shared" si="3"/>
        <v>-1.509000180033965</v>
      </c>
      <c r="G57">
        <f t="shared" si="5"/>
        <v>-1.6309126528744866</v>
      </c>
      <c r="H57">
        <f t="shared" si="4"/>
        <v>0.12191247284052165</v>
      </c>
    </row>
    <row r="58" spans="1:8" x14ac:dyDescent="0.35">
      <c r="A58" t="s">
        <v>58</v>
      </c>
      <c r="B58">
        <v>60.36</v>
      </c>
      <c r="C58">
        <f t="shared" si="6"/>
        <v>-1.5453209042517551E-2</v>
      </c>
      <c r="D58">
        <f t="shared" si="7"/>
        <v>61.353797032347323</v>
      </c>
      <c r="E58">
        <f t="shared" si="8"/>
        <v>62.844710723980533</v>
      </c>
      <c r="F58">
        <f t="shared" si="3"/>
        <v>-1.4909136916332102</v>
      </c>
      <c r="G58">
        <f t="shared" si="5"/>
        <v>-1.6029128606262313</v>
      </c>
      <c r="H58">
        <f t="shared" si="4"/>
        <v>0.11199916899302109</v>
      </c>
    </row>
    <row r="59" spans="1:8" x14ac:dyDescent="0.35">
      <c r="A59" t="s">
        <v>59</v>
      </c>
      <c r="B59">
        <v>61.3</v>
      </c>
      <c r="C59">
        <f t="shared" si="6"/>
        <v>-1.4671124972393467E-3</v>
      </c>
      <c r="D59">
        <f t="shared" si="7"/>
        <v>61.345520565832352</v>
      </c>
      <c r="E59">
        <f t="shared" si="8"/>
        <v>62.73028770738938</v>
      </c>
      <c r="F59">
        <f t="shared" si="3"/>
        <v>-1.3847671415570275</v>
      </c>
      <c r="G59">
        <f t="shared" si="5"/>
        <v>-1.5592837168123905</v>
      </c>
      <c r="H59">
        <f t="shared" si="4"/>
        <v>0.17451657525536302</v>
      </c>
    </row>
    <row r="60" spans="1:8" x14ac:dyDescent="0.35">
      <c r="A60" t="s">
        <v>60</v>
      </c>
      <c r="B60">
        <v>61.39</v>
      </c>
      <c r="C60">
        <f t="shared" si="6"/>
        <v>-6.6564090242400027E-3</v>
      </c>
      <c r="D60">
        <f t="shared" si="7"/>
        <v>61.352363555704301</v>
      </c>
      <c r="E60">
        <f t="shared" si="8"/>
        <v>62.631007136471645</v>
      </c>
      <c r="F60">
        <f t="shared" si="3"/>
        <v>-1.2786435807673442</v>
      </c>
      <c r="G60">
        <f t="shared" si="5"/>
        <v>-1.5031556896033813</v>
      </c>
      <c r="H60">
        <f t="shared" si="4"/>
        <v>0.22451210883603712</v>
      </c>
    </row>
    <row r="61" spans="1:8" x14ac:dyDescent="0.35">
      <c r="A61" t="s">
        <v>61</v>
      </c>
      <c r="B61">
        <v>61.8</v>
      </c>
      <c r="C61">
        <f t="shared" si="6"/>
        <v>3.5662219672907905E-3</v>
      </c>
      <c r="D61">
        <f t="shared" si="7"/>
        <v>61.421230700980558</v>
      </c>
      <c r="E61">
        <f t="shared" si="8"/>
        <v>62.569451052288557</v>
      </c>
      <c r="F61">
        <f t="shared" si="3"/>
        <v>-1.148220351307998</v>
      </c>
      <c r="G61">
        <f t="shared" si="5"/>
        <v>-1.4321686219443046</v>
      </c>
      <c r="H61">
        <f t="shared" si="4"/>
        <v>0.28394827063630657</v>
      </c>
    </row>
    <row r="62" spans="1:8" x14ac:dyDescent="0.35">
      <c r="A62" t="s">
        <v>62</v>
      </c>
      <c r="B62">
        <v>61.58</v>
      </c>
      <c r="C62">
        <f t="shared" si="6"/>
        <v>-6.6359392174738232E-3</v>
      </c>
      <c r="D62">
        <f t="shared" si="7"/>
        <v>61.445656746983552</v>
      </c>
      <c r="E62">
        <f t="shared" si="8"/>
        <v>62.496158381748664</v>
      </c>
      <c r="F62">
        <f t="shared" si="3"/>
        <v>-1.0505016347651122</v>
      </c>
      <c r="G62">
        <f t="shared" si="5"/>
        <v>-1.3558352245084662</v>
      </c>
      <c r="H62">
        <f t="shared" si="4"/>
        <v>0.30533358974335401</v>
      </c>
    </row>
    <row r="63" spans="1:8" x14ac:dyDescent="0.35">
      <c r="A63" t="s">
        <v>63</v>
      </c>
      <c r="B63">
        <v>61.99</v>
      </c>
      <c r="C63">
        <f t="shared" si="6"/>
        <v>-1.9339248573834841E-3</v>
      </c>
      <c r="D63">
        <f t="shared" si="7"/>
        <v>61.529401862832238</v>
      </c>
      <c r="E63">
        <f t="shared" si="8"/>
        <v>62.458665168285798</v>
      </c>
      <c r="F63">
        <f t="shared" si="3"/>
        <v>-0.92926330545355995</v>
      </c>
      <c r="G63">
        <f t="shared" si="5"/>
        <v>-1.2705208406974848</v>
      </c>
      <c r="H63">
        <f t="shared" si="4"/>
        <v>0.34125753524392488</v>
      </c>
    </row>
    <row r="64" spans="1:8" x14ac:dyDescent="0.35">
      <c r="A64" t="s">
        <v>64</v>
      </c>
      <c r="B64">
        <v>62.11</v>
      </c>
      <c r="C64">
        <f t="shared" si="6"/>
        <v>-4.3377046084456198E-3</v>
      </c>
      <c r="D64">
        <f t="shared" si="7"/>
        <v>61.618724653165742</v>
      </c>
      <c r="E64">
        <f t="shared" si="8"/>
        <v>62.432838118783145</v>
      </c>
      <c r="F64">
        <f t="shared" si="3"/>
        <v>-0.81411346561740316</v>
      </c>
      <c r="G64">
        <f t="shared" si="5"/>
        <v>-1.1792393656814686</v>
      </c>
      <c r="H64">
        <f t="shared" si="4"/>
        <v>0.36512590006406542</v>
      </c>
    </row>
    <row r="65" spans="1:8" x14ac:dyDescent="0.35">
      <c r="A65" t="s">
        <v>65</v>
      </c>
      <c r="B65">
        <v>62.38</v>
      </c>
      <c r="C65">
        <f t="shared" si="6"/>
        <v>7.4014818981856124E-3</v>
      </c>
      <c r="D65">
        <f t="shared" si="7"/>
        <v>61.735843937294092</v>
      </c>
      <c r="E65">
        <f t="shared" si="8"/>
        <v>62.428924184058467</v>
      </c>
      <c r="F65">
        <f t="shared" si="3"/>
        <v>-0.69308024676437441</v>
      </c>
      <c r="G65">
        <f t="shared" si="5"/>
        <v>-1.0820075418980497</v>
      </c>
      <c r="H65">
        <f t="shared" si="4"/>
        <v>0.3889272951336753</v>
      </c>
    </row>
    <row r="66" spans="1:8" x14ac:dyDescent="0.35">
      <c r="A66" t="s">
        <v>66</v>
      </c>
      <c r="B66">
        <v>61.92</v>
      </c>
      <c r="C66">
        <f t="shared" ref="C66:C97" si="9">LN(B66/B67)</f>
        <v>-2.7417160953297727E-3</v>
      </c>
      <c r="D66">
        <f t="shared" si="7"/>
        <v>61.764175639248847</v>
      </c>
      <c r="E66">
        <f t="shared" si="8"/>
        <v>62.391226096350429</v>
      </c>
      <c r="F66">
        <f t="shared" si="3"/>
        <v>-0.62705045710158203</v>
      </c>
      <c r="G66">
        <f t="shared" si="5"/>
        <v>-0.99101612493875613</v>
      </c>
      <c r="H66">
        <f t="shared" si="4"/>
        <v>0.3639656678371741</v>
      </c>
    </row>
    <row r="67" spans="1:8" x14ac:dyDescent="0.35">
      <c r="A67" t="s">
        <v>67</v>
      </c>
      <c r="B67">
        <v>62.09</v>
      </c>
      <c r="C67">
        <f t="shared" si="9"/>
        <v>1.6118636629733596E-3</v>
      </c>
      <c r="D67">
        <f t="shared" ref="D67:D98" si="10">(B67-D66)*(2/(12+1))+D66</f>
        <v>61.814302463979793</v>
      </c>
      <c r="E67">
        <f t="shared" ref="E67:E98" si="11" xml:space="preserve"> (B67 - E66) * (2 / (26 + 1)) + E66</f>
        <v>62.368913052176325</v>
      </c>
      <c r="F67">
        <f t="shared" ref="F67:F130" si="12">D67-E67</f>
        <v>-0.55461058819653175</v>
      </c>
      <c r="G67">
        <f t="shared" si="5"/>
        <v>-0.90373501759031127</v>
      </c>
      <c r="H67">
        <f t="shared" ref="H67:H130" si="13" xml:space="preserve"> F67 - G67</f>
        <v>0.34912442939377952</v>
      </c>
    </row>
    <row r="68" spans="1:8" x14ac:dyDescent="0.35">
      <c r="A68" t="s">
        <v>68</v>
      </c>
      <c r="B68">
        <v>61.99</v>
      </c>
      <c r="C68">
        <f t="shared" si="9"/>
        <v>-6.431924408866958E-3</v>
      </c>
      <c r="D68">
        <f t="shared" si="10"/>
        <v>61.841332854136745</v>
      </c>
      <c r="E68">
        <f t="shared" si="11"/>
        <v>62.340845418681781</v>
      </c>
      <c r="F68">
        <f t="shared" si="12"/>
        <v>-0.49951256454503579</v>
      </c>
      <c r="G68">
        <f t="shared" ref="G68:G131" si="14" xml:space="preserve"> (F68 - G67) * (2 / (9 + 1)) + G67</f>
        <v>-0.8228905269812562</v>
      </c>
      <c r="H68">
        <f t="shared" si="13"/>
        <v>0.32337796243622041</v>
      </c>
    </row>
    <row r="69" spans="1:8" x14ac:dyDescent="0.35">
      <c r="A69" t="s">
        <v>69</v>
      </c>
      <c r="B69">
        <v>62.39</v>
      </c>
      <c r="C69">
        <f t="shared" si="9"/>
        <v>-8.7768855135657679E-3</v>
      </c>
      <c r="D69">
        <f t="shared" si="10"/>
        <v>61.925743184269557</v>
      </c>
      <c r="E69">
        <f t="shared" si="11"/>
        <v>62.344486498779425</v>
      </c>
      <c r="F69">
        <f t="shared" si="12"/>
        <v>-0.41874331450986801</v>
      </c>
      <c r="G69">
        <f t="shared" si="14"/>
        <v>-0.74206108448697861</v>
      </c>
      <c r="H69">
        <f t="shared" si="13"/>
        <v>0.32331776997711059</v>
      </c>
    </row>
    <row r="70" spans="1:8" x14ac:dyDescent="0.35">
      <c r="A70" t="s">
        <v>70</v>
      </c>
      <c r="B70">
        <v>62.94</v>
      </c>
      <c r="C70">
        <f t="shared" si="9"/>
        <v>1.3596946259459376E-2</v>
      </c>
      <c r="D70">
        <f t="shared" si="10"/>
        <v>62.081782694381936</v>
      </c>
      <c r="E70">
        <f t="shared" si="11"/>
        <v>62.388598609980946</v>
      </c>
      <c r="F70">
        <f t="shared" si="12"/>
        <v>-0.30681591559901022</v>
      </c>
      <c r="G70">
        <f t="shared" si="14"/>
        <v>-0.65501205070938495</v>
      </c>
      <c r="H70">
        <f t="shared" si="13"/>
        <v>0.34819613511037473</v>
      </c>
    </row>
    <row r="71" spans="1:8" x14ac:dyDescent="0.35">
      <c r="A71" t="s">
        <v>71</v>
      </c>
      <c r="B71">
        <v>62.09</v>
      </c>
      <c r="C71">
        <f t="shared" si="9"/>
        <v>-9.1383401472441006E-3</v>
      </c>
      <c r="D71">
        <f t="shared" si="10"/>
        <v>62.083046895246255</v>
      </c>
      <c r="E71">
        <f t="shared" si="11"/>
        <v>62.366480194426799</v>
      </c>
      <c r="F71">
        <f t="shared" si="12"/>
        <v>-0.28343329918054394</v>
      </c>
      <c r="G71">
        <f t="shared" si="14"/>
        <v>-0.58069630040361675</v>
      </c>
      <c r="H71">
        <f t="shared" si="13"/>
        <v>0.29726300122307281</v>
      </c>
    </row>
    <row r="72" spans="1:8" x14ac:dyDescent="0.35">
      <c r="A72" t="s">
        <v>72</v>
      </c>
      <c r="B72">
        <v>62.66</v>
      </c>
      <c r="C72">
        <f t="shared" si="9"/>
        <v>-1.126727781137994E-2</v>
      </c>
      <c r="D72">
        <f t="shared" si="10"/>
        <v>62.171808911362213</v>
      </c>
      <c r="E72">
        <f t="shared" si="11"/>
        <v>62.388222402247038</v>
      </c>
      <c r="F72">
        <f t="shared" si="12"/>
        <v>-0.21641349088482542</v>
      </c>
      <c r="G72">
        <f t="shared" si="14"/>
        <v>-0.50783973849985853</v>
      </c>
      <c r="H72">
        <f t="shared" si="13"/>
        <v>0.29142624761503311</v>
      </c>
    </row>
    <row r="73" spans="1:8" x14ac:dyDescent="0.35">
      <c r="A73" t="s">
        <v>73</v>
      </c>
      <c r="B73">
        <v>63.37</v>
      </c>
      <c r="C73">
        <f t="shared" si="9"/>
        <v>1.8957158704817765E-2</v>
      </c>
      <c r="D73">
        <f t="shared" si="10"/>
        <v>62.356146001921871</v>
      </c>
      <c r="E73">
        <f t="shared" si="11"/>
        <v>62.460946668747255</v>
      </c>
      <c r="F73">
        <f t="shared" si="12"/>
        <v>-0.10480066682538336</v>
      </c>
      <c r="G73">
        <f t="shared" si="14"/>
        <v>-0.42723192416496347</v>
      </c>
      <c r="H73">
        <f t="shared" si="13"/>
        <v>0.32243125733958011</v>
      </c>
    </row>
    <row r="74" spans="1:8" x14ac:dyDescent="0.35">
      <c r="A74" t="s">
        <v>74</v>
      </c>
      <c r="B74">
        <v>62.18</v>
      </c>
      <c r="C74">
        <f t="shared" si="9"/>
        <v>-4.3328319409789958E-3</v>
      </c>
      <c r="D74">
        <f t="shared" si="10"/>
        <v>62.329046617010817</v>
      </c>
      <c r="E74">
        <f t="shared" si="11"/>
        <v>62.440135804395609</v>
      </c>
      <c r="F74">
        <f t="shared" si="12"/>
        <v>-0.1110891873847919</v>
      </c>
      <c r="G74">
        <f t="shared" si="14"/>
        <v>-0.36400337680892914</v>
      </c>
      <c r="H74">
        <f t="shared" si="13"/>
        <v>0.25291418942413724</v>
      </c>
    </row>
    <row r="75" spans="1:8" x14ac:dyDescent="0.35">
      <c r="A75" t="s">
        <v>75</v>
      </c>
      <c r="B75">
        <v>62.45</v>
      </c>
      <c r="C75">
        <f t="shared" si="9"/>
        <v>4.9763326066853356E-3</v>
      </c>
      <c r="D75">
        <f t="shared" si="10"/>
        <v>62.347654829778385</v>
      </c>
      <c r="E75">
        <f t="shared" si="11"/>
        <v>62.440866485551489</v>
      </c>
      <c r="F75">
        <f t="shared" si="12"/>
        <v>-9.321165577310353E-2</v>
      </c>
      <c r="G75">
        <f t="shared" si="14"/>
        <v>-0.30984503260176399</v>
      </c>
      <c r="H75">
        <f t="shared" si="13"/>
        <v>0.21663337682866046</v>
      </c>
    </row>
    <row r="76" spans="1:8" x14ac:dyDescent="0.35">
      <c r="A76" t="s">
        <v>76</v>
      </c>
      <c r="B76">
        <v>62.14</v>
      </c>
      <c r="C76">
        <f t="shared" si="9"/>
        <v>1.1271235393400887E-3</v>
      </c>
      <c r="D76">
        <f t="shared" si="10"/>
        <v>62.315707932889403</v>
      </c>
      <c r="E76">
        <f t="shared" si="11"/>
        <v>62.418580079214344</v>
      </c>
      <c r="F76">
        <f t="shared" si="12"/>
        <v>-0.10287214632494113</v>
      </c>
      <c r="G76">
        <f t="shared" si="14"/>
        <v>-0.26845045534639944</v>
      </c>
      <c r="H76">
        <f t="shared" si="13"/>
        <v>0.16557830902145831</v>
      </c>
    </row>
    <row r="77" spans="1:8" x14ac:dyDescent="0.35">
      <c r="A77" t="s">
        <v>77</v>
      </c>
      <c r="B77">
        <v>62.07</v>
      </c>
      <c r="C77">
        <f t="shared" si="9"/>
        <v>-6.2635714293711236E-3</v>
      </c>
      <c r="D77">
        <f t="shared" si="10"/>
        <v>62.277906712444882</v>
      </c>
      <c r="E77">
        <f t="shared" si="11"/>
        <v>62.392759332605877</v>
      </c>
      <c r="F77">
        <f t="shared" si="12"/>
        <v>-0.1148526201609954</v>
      </c>
      <c r="G77">
        <f t="shared" si="14"/>
        <v>-0.23773088830931863</v>
      </c>
      <c r="H77">
        <f t="shared" si="13"/>
        <v>0.12287826814832323</v>
      </c>
    </row>
    <row r="78" spans="1:8" x14ac:dyDescent="0.35">
      <c r="A78" t="s">
        <v>78</v>
      </c>
      <c r="B78">
        <v>62.46</v>
      </c>
      <c r="C78">
        <f t="shared" si="9"/>
        <v>1.1432376346845999E-2</v>
      </c>
      <c r="D78">
        <f t="shared" si="10"/>
        <v>62.305921064376442</v>
      </c>
      <c r="E78">
        <f t="shared" si="11"/>
        <v>62.397740122783219</v>
      </c>
      <c r="F78">
        <f t="shared" si="12"/>
        <v>-9.1819058406777287E-2</v>
      </c>
      <c r="G78">
        <f t="shared" si="14"/>
        <v>-0.20854852232881035</v>
      </c>
      <c r="H78">
        <f t="shared" si="13"/>
        <v>0.11672946392203307</v>
      </c>
    </row>
    <row r="79" spans="1:8" x14ac:dyDescent="0.35">
      <c r="A79" t="s">
        <v>79</v>
      </c>
      <c r="B79">
        <v>61.75</v>
      </c>
      <c r="C79">
        <f t="shared" si="9"/>
        <v>-2.0834086902841914E-2</v>
      </c>
      <c r="D79">
        <f t="shared" si="10"/>
        <v>62.220394746780066</v>
      </c>
      <c r="E79">
        <f t="shared" si="11"/>
        <v>62.349759372947425</v>
      </c>
      <c r="F79">
        <f t="shared" si="12"/>
        <v>-0.12936462616735867</v>
      </c>
      <c r="G79">
        <f t="shared" si="14"/>
        <v>-0.19271174309652001</v>
      </c>
      <c r="H79">
        <f t="shared" si="13"/>
        <v>6.334711692916134E-2</v>
      </c>
    </row>
    <row r="80" spans="1:8" x14ac:dyDescent="0.35">
      <c r="A80" t="s">
        <v>80</v>
      </c>
      <c r="B80">
        <v>63.05</v>
      </c>
      <c r="C80">
        <f t="shared" si="9"/>
        <v>-2.059732963010616E-3</v>
      </c>
      <c r="D80">
        <f t="shared" si="10"/>
        <v>62.348026324198514</v>
      </c>
      <c r="E80">
        <f t="shared" si="11"/>
        <v>62.401629049025395</v>
      </c>
      <c r="F80">
        <f t="shared" si="12"/>
        <v>-5.3602724826880888E-2</v>
      </c>
      <c r="G80">
        <f t="shared" si="14"/>
        <v>-0.16488993944259217</v>
      </c>
      <c r="H80">
        <f t="shared" si="13"/>
        <v>0.11128721461571128</v>
      </c>
    </row>
    <row r="81" spans="1:8" x14ac:dyDescent="0.35">
      <c r="A81" t="s">
        <v>81</v>
      </c>
      <c r="B81">
        <v>63.18</v>
      </c>
      <c r="C81">
        <f t="shared" si="9"/>
        <v>-6.7828953167737302E-3</v>
      </c>
      <c r="D81">
        <f t="shared" si="10"/>
        <v>62.476022274321821</v>
      </c>
      <c r="E81">
        <f t="shared" si="11"/>
        <v>62.459286156504994</v>
      </c>
      <c r="F81">
        <f t="shared" si="12"/>
        <v>1.6736117816826379E-2</v>
      </c>
      <c r="G81">
        <f t="shared" si="14"/>
        <v>-0.12856472799070845</v>
      </c>
      <c r="H81">
        <f t="shared" si="13"/>
        <v>0.14530084580753483</v>
      </c>
    </row>
    <row r="82" spans="1:8" x14ac:dyDescent="0.35">
      <c r="A82" t="s">
        <v>82</v>
      </c>
      <c r="B82">
        <v>63.61</v>
      </c>
      <c r="C82">
        <f t="shared" si="9"/>
        <v>2.0457950325045793E-3</v>
      </c>
      <c r="D82">
        <f t="shared" si="10"/>
        <v>62.65048038596462</v>
      </c>
      <c r="E82">
        <f t="shared" si="11"/>
        <v>62.544524218986105</v>
      </c>
      <c r="F82">
        <f t="shared" si="12"/>
        <v>0.1059561669785154</v>
      </c>
      <c r="G82">
        <f t="shared" si="14"/>
        <v>-8.1660548996863674E-2</v>
      </c>
      <c r="H82">
        <f t="shared" si="13"/>
        <v>0.18761671597537907</v>
      </c>
    </row>
    <row r="83" spans="1:8" x14ac:dyDescent="0.35">
      <c r="A83" t="s">
        <v>83</v>
      </c>
      <c r="B83">
        <v>63.48</v>
      </c>
      <c r="C83">
        <f t="shared" si="9"/>
        <v>-1.7313296211081824E-3</v>
      </c>
      <c r="D83">
        <f t="shared" si="10"/>
        <v>62.778098788123906</v>
      </c>
      <c r="E83">
        <f t="shared" si="11"/>
        <v>62.61381872128343</v>
      </c>
      <c r="F83">
        <f t="shared" si="12"/>
        <v>0.16428006684047602</v>
      </c>
      <c r="G83">
        <f t="shared" si="14"/>
        <v>-3.2472425829395732E-2</v>
      </c>
      <c r="H83">
        <f t="shared" si="13"/>
        <v>0.19675249266987177</v>
      </c>
    </row>
    <row r="84" spans="1:8" x14ac:dyDescent="0.35">
      <c r="A84" t="s">
        <v>84</v>
      </c>
      <c r="B84">
        <v>63.59</v>
      </c>
      <c r="C84">
        <f t="shared" si="9"/>
        <v>2.5192896335107418E-3</v>
      </c>
      <c r="D84">
        <f t="shared" si="10"/>
        <v>62.903006666874077</v>
      </c>
      <c r="E84">
        <f t="shared" si="11"/>
        <v>62.686128445632804</v>
      </c>
      <c r="F84">
        <f t="shared" si="12"/>
        <v>0.21687822124127365</v>
      </c>
      <c r="G84">
        <f t="shared" si="14"/>
        <v>1.7397703584738147E-2</v>
      </c>
      <c r="H84">
        <f t="shared" si="13"/>
        <v>0.19948051765653552</v>
      </c>
    </row>
    <row r="85" spans="1:8" x14ac:dyDescent="0.35">
      <c r="A85" t="s">
        <v>85</v>
      </c>
      <c r="B85">
        <v>63.43</v>
      </c>
      <c r="C85">
        <f t="shared" si="9"/>
        <v>7.2785131451544825E-3</v>
      </c>
      <c r="D85">
        <f t="shared" si="10"/>
        <v>62.984082564278069</v>
      </c>
      <c r="E85">
        <f t="shared" si="11"/>
        <v>62.741230042252596</v>
      </c>
      <c r="F85">
        <f t="shared" si="12"/>
        <v>0.24285252202547269</v>
      </c>
      <c r="G85">
        <f t="shared" si="14"/>
        <v>6.248866727288506E-2</v>
      </c>
      <c r="H85">
        <f t="shared" si="13"/>
        <v>0.18036385475258765</v>
      </c>
    </row>
    <row r="86" spans="1:8" x14ac:dyDescent="0.35">
      <c r="A86" t="s">
        <v>86</v>
      </c>
      <c r="B86">
        <v>62.97</v>
      </c>
      <c r="C86">
        <f t="shared" si="9"/>
        <v>2.3849283901508562E-3</v>
      </c>
      <c r="D86">
        <f t="shared" si="10"/>
        <v>62.981916015927595</v>
      </c>
      <c r="E86">
        <f t="shared" si="11"/>
        <v>62.7581759650487</v>
      </c>
      <c r="F86">
        <f t="shared" si="12"/>
        <v>0.22374005087889515</v>
      </c>
      <c r="G86">
        <f t="shared" si="14"/>
        <v>9.4738943994087083E-2</v>
      </c>
      <c r="H86">
        <f t="shared" si="13"/>
        <v>0.12900110688480806</v>
      </c>
    </row>
    <row r="87" spans="1:8" x14ac:dyDescent="0.35">
      <c r="A87" t="s">
        <v>87</v>
      </c>
      <c r="B87">
        <v>62.82</v>
      </c>
      <c r="C87">
        <f t="shared" si="9"/>
        <v>1.2171835090266392E-2</v>
      </c>
      <c r="D87">
        <f t="shared" si="10"/>
        <v>62.957005859631039</v>
      </c>
      <c r="E87">
        <f t="shared" si="11"/>
        <v>62.762755523193242</v>
      </c>
      <c r="F87">
        <f t="shared" si="12"/>
        <v>0.19425033643779699</v>
      </c>
      <c r="G87">
        <f t="shared" si="14"/>
        <v>0.11464122248282907</v>
      </c>
      <c r="H87">
        <f t="shared" si="13"/>
        <v>7.9609113954967919E-2</v>
      </c>
    </row>
    <row r="88" spans="1:8" x14ac:dyDescent="0.35">
      <c r="A88" t="s">
        <v>88</v>
      </c>
      <c r="B88">
        <v>62.06</v>
      </c>
      <c r="C88">
        <f t="shared" si="9"/>
        <v>6.4662365622299928E-3</v>
      </c>
      <c r="D88">
        <f t="shared" si="10"/>
        <v>62.819004958149343</v>
      </c>
      <c r="E88">
        <f t="shared" si="11"/>
        <v>62.71069955851226</v>
      </c>
      <c r="F88">
        <f t="shared" si="12"/>
        <v>0.10830539963708219</v>
      </c>
      <c r="G88">
        <f t="shared" si="14"/>
        <v>0.11337405791367969</v>
      </c>
      <c r="H88">
        <f t="shared" si="13"/>
        <v>-5.0686582765974986E-3</v>
      </c>
    </row>
    <row r="89" spans="1:8" x14ac:dyDescent="0.35">
      <c r="A89" t="s">
        <v>89</v>
      </c>
      <c r="B89">
        <v>61.66</v>
      </c>
      <c r="C89">
        <f t="shared" si="9"/>
        <v>1.1745648900441202E-2</v>
      </c>
      <c r="D89">
        <f t="shared" si="10"/>
        <v>62.64069650304944</v>
      </c>
      <c r="E89">
        <f t="shared" si="11"/>
        <v>62.632869961585428</v>
      </c>
      <c r="F89">
        <f t="shared" si="12"/>
        <v>7.8265414640128483E-3</v>
      </c>
      <c r="G89">
        <f t="shared" si="14"/>
        <v>9.2264554623746317E-2</v>
      </c>
      <c r="H89">
        <f t="shared" si="13"/>
        <v>-8.4438013159733469E-2</v>
      </c>
    </row>
    <row r="90" spans="1:8" x14ac:dyDescent="0.35">
      <c r="A90" t="s">
        <v>90</v>
      </c>
      <c r="B90">
        <v>60.94</v>
      </c>
      <c r="C90">
        <f t="shared" si="9"/>
        <v>1.8066852249490513E-3</v>
      </c>
      <c r="D90">
        <f t="shared" si="10"/>
        <v>62.379050887195682</v>
      </c>
      <c r="E90">
        <f t="shared" si="11"/>
        <v>62.507472186653175</v>
      </c>
      <c r="F90">
        <f t="shared" si="12"/>
        <v>-0.12842129945749292</v>
      </c>
      <c r="G90">
        <f t="shared" si="14"/>
        <v>4.8127383807498467E-2</v>
      </c>
      <c r="H90">
        <f t="shared" si="13"/>
        <v>-0.1765486832649914</v>
      </c>
    </row>
    <row r="91" spans="1:8" x14ac:dyDescent="0.35">
      <c r="A91" t="s">
        <v>91</v>
      </c>
      <c r="B91">
        <v>60.83</v>
      </c>
      <c r="C91">
        <f t="shared" si="9"/>
        <v>-1.2903404835907841E-2</v>
      </c>
      <c r="D91">
        <f t="shared" si="10"/>
        <v>62.140735366088656</v>
      </c>
      <c r="E91">
        <f t="shared" si="11"/>
        <v>62.383214987641828</v>
      </c>
      <c r="F91">
        <f t="shared" si="12"/>
        <v>-0.24247962155317282</v>
      </c>
      <c r="G91">
        <f t="shared" si="14"/>
        <v>-9.9940172646357933E-3</v>
      </c>
      <c r="H91">
        <f t="shared" si="13"/>
        <v>-0.23248560428853704</v>
      </c>
    </row>
    <row r="92" spans="1:8" x14ac:dyDescent="0.35">
      <c r="A92" t="s">
        <v>92</v>
      </c>
      <c r="B92">
        <v>61.62</v>
      </c>
      <c r="C92">
        <f t="shared" si="9"/>
        <v>-7.2762872570395539E-3</v>
      </c>
      <c r="D92">
        <f t="shared" si="10"/>
        <v>62.060622232844246</v>
      </c>
      <c r="E92">
        <f t="shared" si="11"/>
        <v>62.326680544112804</v>
      </c>
      <c r="F92">
        <f t="shared" si="12"/>
        <v>-0.26605831126855861</v>
      </c>
      <c r="G92">
        <f t="shared" si="14"/>
        <v>-6.1206876065420364E-2</v>
      </c>
      <c r="H92">
        <f t="shared" si="13"/>
        <v>-0.20485143520313825</v>
      </c>
    </row>
    <row r="93" spans="1:8" x14ac:dyDescent="0.35">
      <c r="A93" t="s">
        <v>93</v>
      </c>
      <c r="B93">
        <v>62.07</v>
      </c>
      <c r="C93">
        <f t="shared" si="9"/>
        <v>-3.0563845879007473E-3</v>
      </c>
      <c r="D93">
        <f t="shared" si="10"/>
        <v>62.062064966252827</v>
      </c>
      <c r="E93">
        <f t="shared" si="11"/>
        <v>62.307667170474822</v>
      </c>
      <c r="F93">
        <f t="shared" si="12"/>
        <v>-0.24560220422199563</v>
      </c>
      <c r="G93">
        <f t="shared" si="14"/>
        <v>-9.8085941696735429E-2</v>
      </c>
      <c r="H93">
        <f t="shared" si="13"/>
        <v>-0.14751626252526021</v>
      </c>
    </row>
    <row r="94" spans="1:8" x14ac:dyDescent="0.35">
      <c r="A94" t="s">
        <v>94</v>
      </c>
      <c r="B94">
        <v>62.26</v>
      </c>
      <c r="C94">
        <f t="shared" si="9"/>
        <v>-2.5665718291712891E-3</v>
      </c>
      <c r="D94">
        <f t="shared" si="10"/>
        <v>62.09251650990624</v>
      </c>
      <c r="E94">
        <f t="shared" si="11"/>
        <v>62.304136268958167</v>
      </c>
      <c r="F94">
        <f t="shared" si="12"/>
        <v>-0.21161975905192776</v>
      </c>
      <c r="G94">
        <f t="shared" si="14"/>
        <v>-0.12079270516777389</v>
      </c>
      <c r="H94">
        <f t="shared" si="13"/>
        <v>-9.0827053884153866E-2</v>
      </c>
    </row>
    <row r="95" spans="1:8" x14ac:dyDescent="0.35">
      <c r="A95" t="s">
        <v>95</v>
      </c>
      <c r="B95">
        <v>62.42</v>
      </c>
      <c r="C95">
        <f t="shared" si="9"/>
        <v>-8.7726856580178821E-3</v>
      </c>
      <c r="D95">
        <f t="shared" si="10"/>
        <v>62.142898585305282</v>
      </c>
      <c r="E95">
        <f t="shared" si="11"/>
        <v>62.312718767553861</v>
      </c>
      <c r="F95">
        <f t="shared" si="12"/>
        <v>-0.16982018224857853</v>
      </c>
      <c r="G95">
        <f t="shared" si="14"/>
        <v>-0.13059820058393481</v>
      </c>
      <c r="H95">
        <f t="shared" si="13"/>
        <v>-3.9221981664643718E-2</v>
      </c>
    </row>
    <row r="96" spans="1:8" x14ac:dyDescent="0.35">
      <c r="A96" t="s">
        <v>96</v>
      </c>
      <c r="B96">
        <v>62.97</v>
      </c>
      <c r="C96">
        <f t="shared" si="9"/>
        <v>3.9780464584988854E-3</v>
      </c>
      <c r="D96">
        <f t="shared" si="10"/>
        <v>62.270144956796777</v>
      </c>
      <c r="E96">
        <f t="shared" si="11"/>
        <v>62.361406266253574</v>
      </c>
      <c r="F96">
        <f t="shared" si="12"/>
        <v>-9.1261309456797335E-2</v>
      </c>
      <c r="G96">
        <f t="shared" si="14"/>
        <v>-0.12273082235850732</v>
      </c>
      <c r="H96">
        <f t="shared" si="13"/>
        <v>3.1469512901709989E-2</v>
      </c>
    </row>
    <row r="97" spans="1:8" x14ac:dyDescent="0.35">
      <c r="A97" t="s">
        <v>97</v>
      </c>
      <c r="B97">
        <v>62.72</v>
      </c>
      <c r="C97">
        <f t="shared" si="9"/>
        <v>-6.3755182267942923E-4</v>
      </c>
      <c r="D97">
        <f t="shared" si="10"/>
        <v>62.339353424981887</v>
      </c>
      <c r="E97">
        <f t="shared" si="11"/>
        <v>62.387968765049607</v>
      </c>
      <c r="F97">
        <f t="shared" si="12"/>
        <v>-4.8615340067719615E-2</v>
      </c>
      <c r="G97">
        <f t="shared" si="14"/>
        <v>-0.10790772590034978</v>
      </c>
      <c r="H97">
        <f t="shared" si="13"/>
        <v>5.9292385832630162E-2</v>
      </c>
    </row>
    <row r="98" spans="1:8" x14ac:dyDescent="0.35">
      <c r="A98" t="s">
        <v>98</v>
      </c>
      <c r="B98">
        <v>62.76</v>
      </c>
      <c r="C98">
        <f t="shared" ref="C98:C129" si="15">LN(B98/B99)</f>
        <v>-2.5795705245476263E-2</v>
      </c>
      <c r="D98">
        <f t="shared" si="10"/>
        <v>62.404068282676981</v>
      </c>
      <c r="E98">
        <f t="shared" si="11"/>
        <v>62.415526634305188</v>
      </c>
      <c r="F98">
        <f t="shared" si="12"/>
        <v>-1.1458351628206742E-2</v>
      </c>
      <c r="G98">
        <f t="shared" si="14"/>
        <v>-8.8617851045921167E-2</v>
      </c>
      <c r="H98">
        <f t="shared" si="13"/>
        <v>7.7159499417714425E-2</v>
      </c>
    </row>
    <row r="99" spans="1:8" x14ac:dyDescent="0.35">
      <c r="A99" t="s">
        <v>99</v>
      </c>
      <c r="B99">
        <v>64.400000000000006</v>
      </c>
      <c r="C99">
        <f t="shared" si="15"/>
        <v>3.8895420486625529E-3</v>
      </c>
      <c r="D99">
        <f t="shared" ref="D99:D130" si="16">(B99-D98)*(2/(12+1))+D98</f>
        <v>62.711134700726674</v>
      </c>
      <c r="E99">
        <f t="shared" ref="E99:E130" si="17" xml:space="preserve"> (B99 - E98) * (2 / (26 + 1)) + E98</f>
        <v>62.562524661393695</v>
      </c>
      <c r="F99">
        <f t="shared" si="12"/>
        <v>0.14861003933297923</v>
      </c>
      <c r="G99">
        <f t="shared" si="14"/>
        <v>-4.1172272970141081E-2</v>
      </c>
      <c r="H99">
        <f t="shared" si="13"/>
        <v>0.18978231230312032</v>
      </c>
    </row>
    <row r="100" spans="1:8" x14ac:dyDescent="0.35">
      <c r="A100" t="s">
        <v>100</v>
      </c>
      <c r="B100">
        <v>64.150000000000006</v>
      </c>
      <c r="C100">
        <f t="shared" si="15"/>
        <v>1.560062718902406E-3</v>
      </c>
      <c r="D100">
        <f t="shared" si="16"/>
        <v>62.93249859292257</v>
      </c>
      <c r="E100">
        <f t="shared" si="17"/>
        <v>62.680115427216386</v>
      </c>
      <c r="F100">
        <f t="shared" si="12"/>
        <v>0.2523831657061848</v>
      </c>
      <c r="G100">
        <f t="shared" si="14"/>
        <v>1.7538814765124096E-2</v>
      </c>
      <c r="H100">
        <f t="shared" si="13"/>
        <v>0.23484435094106071</v>
      </c>
    </row>
    <row r="101" spans="1:8" x14ac:dyDescent="0.35">
      <c r="A101" t="s">
        <v>101</v>
      </c>
      <c r="B101">
        <v>64.05</v>
      </c>
      <c r="C101">
        <f t="shared" si="15"/>
        <v>-4.5174934681371046E-3</v>
      </c>
      <c r="D101">
        <f t="shared" si="16"/>
        <v>63.104421886319095</v>
      </c>
      <c r="E101">
        <f t="shared" si="17"/>
        <v>62.781588358533689</v>
      </c>
      <c r="F101">
        <f t="shared" si="12"/>
        <v>0.32283352778540575</v>
      </c>
      <c r="G101">
        <f t="shared" si="14"/>
        <v>7.8597757369180427E-2</v>
      </c>
      <c r="H101">
        <f t="shared" si="13"/>
        <v>0.24423577041622532</v>
      </c>
    </row>
    <row r="102" spans="1:8" x14ac:dyDescent="0.35">
      <c r="A102" t="s">
        <v>102</v>
      </c>
      <c r="B102">
        <v>64.34</v>
      </c>
      <c r="C102">
        <f t="shared" si="15"/>
        <v>-9.2822448638194971E-3</v>
      </c>
      <c r="D102">
        <f t="shared" si="16"/>
        <v>63.294510826885386</v>
      </c>
      <c r="E102">
        <f t="shared" si="17"/>
        <v>62.897026257901565</v>
      </c>
      <c r="F102">
        <f t="shared" si="12"/>
        <v>0.39748456898382045</v>
      </c>
      <c r="G102">
        <f t="shared" si="14"/>
        <v>0.14237511969210842</v>
      </c>
      <c r="H102">
        <f t="shared" si="13"/>
        <v>0.25510944929171203</v>
      </c>
    </row>
    <row r="103" spans="1:8" x14ac:dyDescent="0.35">
      <c r="A103" t="s">
        <v>103</v>
      </c>
      <c r="B103">
        <v>64.94</v>
      </c>
      <c r="C103">
        <f t="shared" si="15"/>
        <v>5.4041666303184287E-3</v>
      </c>
      <c r="D103">
        <f t="shared" si="16"/>
        <v>63.547663007364555</v>
      </c>
      <c r="E103">
        <f t="shared" si="17"/>
        <v>63.048357646205154</v>
      </c>
      <c r="F103">
        <f t="shared" si="12"/>
        <v>0.49930536115940072</v>
      </c>
      <c r="G103">
        <f t="shared" si="14"/>
        <v>0.21376116798556688</v>
      </c>
      <c r="H103">
        <f t="shared" si="13"/>
        <v>0.28554419317383384</v>
      </c>
    </row>
    <row r="104" spans="1:8" x14ac:dyDescent="0.35">
      <c r="A104" t="s">
        <v>104</v>
      </c>
      <c r="B104">
        <v>64.59</v>
      </c>
      <c r="C104">
        <f t="shared" si="15"/>
        <v>-1.673486509979151E-2</v>
      </c>
      <c r="D104">
        <f t="shared" si="16"/>
        <v>63.708022544693087</v>
      </c>
      <c r="E104">
        <f t="shared" si="17"/>
        <v>63.162553376115881</v>
      </c>
      <c r="F104">
        <f t="shared" si="12"/>
        <v>0.54546916857720618</v>
      </c>
      <c r="G104">
        <f t="shared" si="14"/>
        <v>0.28010276810389473</v>
      </c>
      <c r="H104">
        <f t="shared" si="13"/>
        <v>0.26536640047331145</v>
      </c>
    </row>
    <row r="105" spans="1:8" x14ac:dyDescent="0.35">
      <c r="A105" t="s">
        <v>105</v>
      </c>
      <c r="B105">
        <v>65.680000000000007</v>
      </c>
      <c r="C105">
        <f t="shared" si="15"/>
        <v>-3.7991079810355457E-3</v>
      </c>
      <c r="D105">
        <f t="shared" si="16"/>
        <v>64.011403691663389</v>
      </c>
      <c r="E105">
        <f t="shared" si="17"/>
        <v>63.349030903810998</v>
      </c>
      <c r="F105">
        <f t="shared" si="12"/>
        <v>0.66237278785239084</v>
      </c>
      <c r="G105">
        <f t="shared" si="14"/>
        <v>0.35655677205359393</v>
      </c>
      <c r="H105">
        <f t="shared" si="13"/>
        <v>0.30581601579879691</v>
      </c>
    </row>
    <row r="106" spans="1:8" x14ac:dyDescent="0.35">
      <c r="A106" t="s">
        <v>106</v>
      </c>
      <c r="B106">
        <v>65.930000000000007</v>
      </c>
      <c r="C106">
        <f t="shared" si="15"/>
        <v>-5.5963240666084078E-3</v>
      </c>
      <c r="D106">
        <f t="shared" si="16"/>
        <v>64.306572354484402</v>
      </c>
      <c r="E106">
        <f t="shared" si="17"/>
        <v>63.540213799824997</v>
      </c>
      <c r="F106">
        <f t="shared" si="12"/>
        <v>0.76635855465940494</v>
      </c>
      <c r="G106">
        <f t="shared" si="14"/>
        <v>0.43851712857475611</v>
      </c>
      <c r="H106">
        <f t="shared" si="13"/>
        <v>0.32784142608464883</v>
      </c>
    </row>
    <row r="107" spans="1:8" x14ac:dyDescent="0.35">
      <c r="A107" t="s">
        <v>107</v>
      </c>
      <c r="B107">
        <v>66.3</v>
      </c>
      <c r="C107">
        <f t="shared" si="15"/>
        <v>-1.0502722199149288E-2</v>
      </c>
      <c r="D107">
        <f t="shared" si="16"/>
        <v>64.613253530717571</v>
      </c>
      <c r="E107">
        <f t="shared" si="17"/>
        <v>63.744642407245365</v>
      </c>
      <c r="F107">
        <f t="shared" si="12"/>
        <v>0.86861112347220626</v>
      </c>
      <c r="G107">
        <f t="shared" si="14"/>
        <v>0.52453592755424616</v>
      </c>
      <c r="H107">
        <f t="shared" si="13"/>
        <v>0.3440751959179601</v>
      </c>
    </row>
    <row r="108" spans="1:8" x14ac:dyDescent="0.35">
      <c r="A108" t="s">
        <v>108</v>
      </c>
      <c r="B108">
        <v>67</v>
      </c>
      <c r="C108">
        <f t="shared" si="15"/>
        <v>-2.0972560158492585E-2</v>
      </c>
      <c r="D108">
        <f t="shared" si="16"/>
        <v>64.980445295222566</v>
      </c>
      <c r="E108">
        <f t="shared" si="17"/>
        <v>63.985780006708673</v>
      </c>
      <c r="F108">
        <f t="shared" si="12"/>
        <v>0.99466528851389313</v>
      </c>
      <c r="G108">
        <f t="shared" si="14"/>
        <v>0.61856179974617553</v>
      </c>
      <c r="H108">
        <f t="shared" si="13"/>
        <v>0.3761034887677176</v>
      </c>
    </row>
    <row r="109" spans="1:8" x14ac:dyDescent="0.35">
      <c r="A109" t="s">
        <v>109</v>
      </c>
      <c r="B109">
        <v>68.42</v>
      </c>
      <c r="C109">
        <f t="shared" si="15"/>
        <v>0</v>
      </c>
      <c r="D109">
        <f t="shared" si="16"/>
        <v>65.509607557496011</v>
      </c>
      <c r="E109">
        <f t="shared" si="17"/>
        <v>64.314240746952478</v>
      </c>
      <c r="F109">
        <f t="shared" si="12"/>
        <v>1.1953668105435327</v>
      </c>
      <c r="G109">
        <f t="shared" si="14"/>
        <v>0.73392280190564696</v>
      </c>
      <c r="H109">
        <f t="shared" si="13"/>
        <v>0.46144400863788571</v>
      </c>
    </row>
    <row r="110" spans="1:8" x14ac:dyDescent="0.35">
      <c r="A110" t="s">
        <v>110</v>
      </c>
      <c r="B110">
        <v>68.42</v>
      </c>
      <c r="C110">
        <f t="shared" si="15"/>
        <v>-1.4221687963300225E-2</v>
      </c>
      <c r="D110">
        <f t="shared" si="16"/>
        <v>65.957360240958167</v>
      </c>
      <c r="E110">
        <f t="shared" si="17"/>
        <v>64.618371061993031</v>
      </c>
      <c r="F110">
        <f t="shared" si="12"/>
        <v>1.3389891789651358</v>
      </c>
      <c r="G110">
        <f t="shared" si="14"/>
        <v>0.85493607731754473</v>
      </c>
      <c r="H110">
        <f t="shared" si="13"/>
        <v>0.48405310164759108</v>
      </c>
    </row>
    <row r="111" spans="1:8" x14ac:dyDescent="0.35">
      <c r="A111" t="s">
        <v>111</v>
      </c>
      <c r="B111">
        <v>69.400000000000006</v>
      </c>
      <c r="C111">
        <f t="shared" si="15"/>
        <v>7.6661979561519272E-3</v>
      </c>
      <c r="D111">
        <f t="shared" si="16"/>
        <v>66.48699712696461</v>
      </c>
      <c r="E111">
        <f t="shared" si="17"/>
        <v>64.972565798141702</v>
      </c>
      <c r="F111">
        <f t="shared" si="12"/>
        <v>1.5144313288229085</v>
      </c>
      <c r="G111">
        <f t="shared" si="14"/>
        <v>0.98683512761861747</v>
      </c>
      <c r="H111">
        <f t="shared" si="13"/>
        <v>0.52759620120429107</v>
      </c>
    </row>
    <row r="112" spans="1:8" x14ac:dyDescent="0.35">
      <c r="A112" t="s">
        <v>112</v>
      </c>
      <c r="B112">
        <v>68.87</v>
      </c>
      <c r="C112">
        <f t="shared" si="15"/>
        <v>-9.5376445543195864E-3</v>
      </c>
      <c r="D112">
        <f t="shared" si="16"/>
        <v>66.85361295358544</v>
      </c>
      <c r="E112">
        <f t="shared" si="17"/>
        <v>65.261264627908986</v>
      </c>
      <c r="F112">
        <f t="shared" si="12"/>
        <v>1.5923483256764541</v>
      </c>
      <c r="G112">
        <f t="shared" si="14"/>
        <v>1.1079377672301849</v>
      </c>
      <c r="H112">
        <f t="shared" si="13"/>
        <v>0.48441055844626923</v>
      </c>
    </row>
    <row r="113" spans="1:8" x14ac:dyDescent="0.35">
      <c r="A113" t="s">
        <v>113</v>
      </c>
      <c r="B113">
        <v>69.53</v>
      </c>
      <c r="C113">
        <f t="shared" si="15"/>
        <v>3.3134079150689789E-3</v>
      </c>
      <c r="D113">
        <f t="shared" si="16"/>
        <v>67.265364806879987</v>
      </c>
      <c r="E113">
        <f t="shared" si="17"/>
        <v>65.577467248063883</v>
      </c>
      <c r="F113">
        <f t="shared" si="12"/>
        <v>1.687897558816104</v>
      </c>
      <c r="G113">
        <f t="shared" si="14"/>
        <v>1.2239297255473687</v>
      </c>
      <c r="H113">
        <f t="shared" si="13"/>
        <v>0.46396783326873536</v>
      </c>
    </row>
    <row r="114" spans="1:8" x14ac:dyDescent="0.35">
      <c r="A114" t="s">
        <v>114</v>
      </c>
      <c r="B114">
        <v>69.3</v>
      </c>
      <c r="C114">
        <f t="shared" si="15"/>
        <v>0</v>
      </c>
      <c r="D114">
        <f t="shared" si="16"/>
        <v>67.578385605821524</v>
      </c>
      <c r="E114">
        <f t="shared" si="17"/>
        <v>65.853210414873971</v>
      </c>
      <c r="F114">
        <f t="shared" si="12"/>
        <v>1.725175190947553</v>
      </c>
      <c r="G114">
        <f t="shared" si="14"/>
        <v>1.3241788186274055</v>
      </c>
      <c r="H114">
        <f t="shared" si="13"/>
        <v>0.40099637232014751</v>
      </c>
    </row>
    <row r="115" spans="1:8" x14ac:dyDescent="0.35">
      <c r="A115" t="s">
        <v>115</v>
      </c>
      <c r="B115">
        <v>69.3</v>
      </c>
      <c r="C115">
        <f t="shared" si="15"/>
        <v>1.1027389749394635E-2</v>
      </c>
      <c r="D115">
        <f t="shared" si="16"/>
        <v>67.843249358772056</v>
      </c>
      <c r="E115">
        <f t="shared" si="17"/>
        <v>66.108528161920347</v>
      </c>
      <c r="F115">
        <f t="shared" si="12"/>
        <v>1.7347211968517087</v>
      </c>
      <c r="G115">
        <f t="shared" si="14"/>
        <v>1.4062872942722662</v>
      </c>
      <c r="H115">
        <f t="shared" si="13"/>
        <v>0.32843390257944249</v>
      </c>
    </row>
    <row r="116" spans="1:8" x14ac:dyDescent="0.35">
      <c r="A116" t="s">
        <v>116</v>
      </c>
      <c r="B116">
        <v>68.540000000000006</v>
      </c>
      <c r="C116">
        <f t="shared" si="15"/>
        <v>4.5331656191306179E-3</v>
      </c>
      <c r="D116">
        <f t="shared" si="16"/>
        <v>67.950441765114817</v>
      </c>
      <c r="E116">
        <f t="shared" si="17"/>
        <v>66.288637186963285</v>
      </c>
      <c r="F116">
        <f t="shared" si="12"/>
        <v>1.661804578151532</v>
      </c>
      <c r="G116">
        <f t="shared" si="14"/>
        <v>1.4573907510481194</v>
      </c>
      <c r="H116">
        <f t="shared" si="13"/>
        <v>0.2044138271034126</v>
      </c>
    </row>
    <row r="117" spans="1:8" x14ac:dyDescent="0.35">
      <c r="A117" t="s">
        <v>117</v>
      </c>
      <c r="B117">
        <v>68.23</v>
      </c>
      <c r="C117">
        <f t="shared" si="15"/>
        <v>-4.5331656191305147E-3</v>
      </c>
      <c r="D117">
        <f t="shared" si="16"/>
        <v>67.993450724327928</v>
      </c>
      <c r="E117">
        <f t="shared" si="17"/>
        <v>66.432441839780822</v>
      </c>
      <c r="F117">
        <f t="shared" si="12"/>
        <v>1.5610088845471068</v>
      </c>
      <c r="G117">
        <f t="shared" si="14"/>
        <v>1.4781143777479169</v>
      </c>
      <c r="H117">
        <f t="shared" si="13"/>
        <v>8.2894506799189971E-2</v>
      </c>
    </row>
    <row r="118" spans="1:8" x14ac:dyDescent="0.35">
      <c r="A118" t="s">
        <v>118</v>
      </c>
      <c r="B118">
        <v>68.540000000000006</v>
      </c>
      <c r="C118">
        <f t="shared" si="15"/>
        <v>5.5596339254026855E-3</v>
      </c>
      <c r="D118">
        <f t="shared" si="16"/>
        <v>68.077535228277483</v>
      </c>
      <c r="E118">
        <f t="shared" si="17"/>
        <v>66.588557259056316</v>
      </c>
      <c r="F118">
        <f t="shared" si="12"/>
        <v>1.4889779692211675</v>
      </c>
      <c r="G118">
        <f t="shared" si="14"/>
        <v>1.4802870960425669</v>
      </c>
      <c r="H118">
        <f t="shared" si="13"/>
        <v>8.6908731786006221E-3</v>
      </c>
    </row>
    <row r="119" spans="1:8" x14ac:dyDescent="0.35">
      <c r="A119" t="s">
        <v>119</v>
      </c>
      <c r="B119">
        <v>68.16</v>
      </c>
      <c r="C119">
        <f t="shared" si="15"/>
        <v>2.4972469826921029E-3</v>
      </c>
      <c r="D119">
        <f t="shared" si="16"/>
        <v>68.090222116234798</v>
      </c>
      <c r="E119">
        <f t="shared" si="17"/>
        <v>66.70496042505215</v>
      </c>
      <c r="F119">
        <f t="shared" si="12"/>
        <v>1.3852616911826487</v>
      </c>
      <c r="G119">
        <f t="shared" si="14"/>
        <v>1.4612820150705832</v>
      </c>
      <c r="H119">
        <f t="shared" si="13"/>
        <v>-7.6020323887934449E-2</v>
      </c>
    </row>
    <row r="120" spans="1:8" x14ac:dyDescent="0.35">
      <c r="A120" t="s">
        <v>120</v>
      </c>
      <c r="B120">
        <v>67.989999999999995</v>
      </c>
      <c r="C120">
        <f t="shared" si="15"/>
        <v>-1.6628154418805323E-2</v>
      </c>
      <c r="D120">
        <f t="shared" si="16"/>
        <v>68.07480332912175</v>
      </c>
      <c r="E120">
        <f t="shared" si="17"/>
        <v>66.800148541714947</v>
      </c>
      <c r="F120">
        <f t="shared" si="12"/>
        <v>1.2746547874068028</v>
      </c>
      <c r="G120">
        <f t="shared" si="14"/>
        <v>1.4239565695378271</v>
      </c>
      <c r="H120">
        <f t="shared" si="13"/>
        <v>-0.1493017821310243</v>
      </c>
    </row>
    <row r="121" spans="1:8" x14ac:dyDescent="0.35">
      <c r="A121" t="s">
        <v>121</v>
      </c>
      <c r="B121">
        <v>69.13</v>
      </c>
      <c r="C121">
        <f t="shared" si="15"/>
        <v>-5.0501514157306167E-3</v>
      </c>
      <c r="D121">
        <f t="shared" si="16"/>
        <v>68.237141278487627</v>
      </c>
      <c r="E121">
        <f t="shared" si="17"/>
        <v>66.972730131217546</v>
      </c>
      <c r="F121">
        <f t="shared" si="12"/>
        <v>1.2644111472700814</v>
      </c>
      <c r="G121">
        <f t="shared" si="14"/>
        <v>1.3920474850842779</v>
      </c>
      <c r="H121">
        <f t="shared" si="13"/>
        <v>-0.12763633781419648</v>
      </c>
    </row>
    <row r="122" spans="1:8" x14ac:dyDescent="0.35">
      <c r="A122" t="s">
        <v>122</v>
      </c>
      <c r="B122">
        <v>69.48</v>
      </c>
      <c r="C122">
        <f t="shared" si="15"/>
        <v>-6.8847087774970318E-3</v>
      </c>
      <c r="D122">
        <f t="shared" si="16"/>
        <v>68.428350312566451</v>
      </c>
      <c r="E122">
        <f t="shared" si="17"/>
        <v>67.158453825201434</v>
      </c>
      <c r="F122">
        <f t="shared" si="12"/>
        <v>1.2698964873650169</v>
      </c>
      <c r="G122">
        <f t="shared" si="14"/>
        <v>1.3676172855404256</v>
      </c>
      <c r="H122">
        <f t="shared" si="13"/>
        <v>-9.7720798175408685E-2</v>
      </c>
    </row>
    <row r="123" spans="1:8" x14ac:dyDescent="0.35">
      <c r="A123" t="s">
        <v>123</v>
      </c>
      <c r="B123">
        <v>69.959999999999994</v>
      </c>
      <c r="C123">
        <f t="shared" si="15"/>
        <v>-9.8144589801353477E-3</v>
      </c>
      <c r="D123">
        <f t="shared" si="16"/>
        <v>68.663988726017763</v>
      </c>
      <c r="E123">
        <f t="shared" si="17"/>
        <v>67.365975764075401</v>
      </c>
      <c r="F123">
        <f t="shared" si="12"/>
        <v>1.2980129619423622</v>
      </c>
      <c r="G123">
        <f t="shared" si="14"/>
        <v>1.3536964208208129</v>
      </c>
      <c r="H123">
        <f t="shared" si="13"/>
        <v>-5.568345887845072E-2</v>
      </c>
    </row>
    <row r="124" spans="1:8" x14ac:dyDescent="0.35">
      <c r="A124" t="s">
        <v>124</v>
      </c>
      <c r="B124">
        <v>70.650000000000006</v>
      </c>
      <c r="C124">
        <f t="shared" si="15"/>
        <v>-2.1208915691375133E-3</v>
      </c>
      <c r="D124">
        <f t="shared" si="16"/>
        <v>68.96952892201503</v>
      </c>
      <c r="E124">
        <f t="shared" si="17"/>
        <v>67.609236818588329</v>
      </c>
      <c r="F124">
        <f t="shared" si="12"/>
        <v>1.3602921034267013</v>
      </c>
      <c r="G124">
        <f t="shared" si="14"/>
        <v>1.3550155573419906</v>
      </c>
      <c r="H124">
        <f t="shared" si="13"/>
        <v>5.2765460847106205E-3</v>
      </c>
    </row>
    <row r="125" spans="1:8" x14ac:dyDescent="0.35">
      <c r="A125" t="s">
        <v>125</v>
      </c>
      <c r="B125">
        <v>70.8</v>
      </c>
      <c r="C125">
        <f t="shared" si="15"/>
        <v>9.8918965177551238E-4</v>
      </c>
      <c r="D125">
        <f t="shared" si="16"/>
        <v>69.25113985708964</v>
      </c>
      <c r="E125">
        <f t="shared" si="17"/>
        <v>67.845589646841049</v>
      </c>
      <c r="F125">
        <f t="shared" si="12"/>
        <v>1.4055502102485917</v>
      </c>
      <c r="G125">
        <f t="shared" si="14"/>
        <v>1.3651224879233108</v>
      </c>
      <c r="H125">
        <f t="shared" si="13"/>
        <v>4.0427722325280913E-2</v>
      </c>
    </row>
    <row r="126" spans="1:8" x14ac:dyDescent="0.35">
      <c r="A126" t="s">
        <v>126</v>
      </c>
      <c r="B126">
        <v>70.73</v>
      </c>
      <c r="C126">
        <f t="shared" si="15"/>
        <v>5.5291840020622153E-3</v>
      </c>
      <c r="D126">
        <f t="shared" si="16"/>
        <v>69.47865680215277</v>
      </c>
      <c r="E126">
        <f t="shared" si="17"/>
        <v>68.059249673000977</v>
      </c>
      <c r="F126">
        <f t="shared" si="12"/>
        <v>1.4194071291517929</v>
      </c>
      <c r="G126">
        <f t="shared" si="14"/>
        <v>1.3759794161690073</v>
      </c>
      <c r="H126">
        <f t="shared" si="13"/>
        <v>4.3427712982785582E-2</v>
      </c>
    </row>
    <row r="127" spans="1:8" x14ac:dyDescent="0.35">
      <c r="A127" t="s">
        <v>127</v>
      </c>
      <c r="B127">
        <v>70.34</v>
      </c>
      <c r="C127">
        <f t="shared" si="15"/>
        <v>-7.1058057420375685E-4</v>
      </c>
      <c r="D127">
        <f t="shared" si="16"/>
        <v>69.611171140283119</v>
      </c>
      <c r="E127">
        <f t="shared" si="17"/>
        <v>68.228194141667572</v>
      </c>
      <c r="F127">
        <f t="shared" si="12"/>
        <v>1.3829769986155469</v>
      </c>
      <c r="G127">
        <f t="shared" si="14"/>
        <v>1.3773789326583152</v>
      </c>
      <c r="H127">
        <f t="shared" si="13"/>
        <v>5.5980659572316682E-3</v>
      </c>
    </row>
    <row r="128" spans="1:8" x14ac:dyDescent="0.35">
      <c r="A128" t="s">
        <v>128</v>
      </c>
      <c r="B128">
        <v>70.39</v>
      </c>
      <c r="C128">
        <f t="shared" si="15"/>
        <v>1.7062424159339222E-3</v>
      </c>
      <c r="D128">
        <f t="shared" si="16"/>
        <v>69.730990964854954</v>
      </c>
      <c r="E128">
        <f t="shared" si="17"/>
        <v>68.388327908951453</v>
      </c>
      <c r="F128">
        <f t="shared" si="12"/>
        <v>1.3426630559035004</v>
      </c>
      <c r="G128">
        <f t="shared" si="14"/>
        <v>1.3704357573073522</v>
      </c>
      <c r="H128">
        <f t="shared" si="13"/>
        <v>-2.7772701403851796E-2</v>
      </c>
    </row>
    <row r="129" spans="1:8" x14ac:dyDescent="0.35">
      <c r="A129" t="s">
        <v>129</v>
      </c>
      <c r="B129">
        <v>70.27</v>
      </c>
      <c r="C129">
        <f t="shared" si="15"/>
        <v>-5.6761894986566506E-3</v>
      </c>
      <c r="D129">
        <f t="shared" si="16"/>
        <v>69.813915431800339</v>
      </c>
      <c r="E129">
        <f t="shared" si="17"/>
        <v>68.527711026806898</v>
      </c>
      <c r="F129">
        <f t="shared" si="12"/>
        <v>1.2862044049934411</v>
      </c>
      <c r="G129">
        <f t="shared" si="14"/>
        <v>1.3535894868445699</v>
      </c>
      <c r="H129">
        <f t="shared" si="13"/>
        <v>-6.7385081851128792E-2</v>
      </c>
    </row>
    <row r="130" spans="1:8" x14ac:dyDescent="0.35">
      <c r="A130" t="s">
        <v>130</v>
      </c>
      <c r="B130">
        <v>70.67</v>
      </c>
      <c r="C130">
        <f t="shared" ref="C130:C161" si="18">LN(B130/B131)</f>
        <v>1.2743364556390979E-3</v>
      </c>
      <c r="D130">
        <f t="shared" si="16"/>
        <v>69.945620749984897</v>
      </c>
      <c r="E130">
        <f t="shared" si="17"/>
        <v>68.686399098895279</v>
      </c>
      <c r="F130">
        <f t="shared" si="12"/>
        <v>1.2592216510896179</v>
      </c>
      <c r="G130">
        <f t="shared" si="14"/>
        <v>1.3347159196935796</v>
      </c>
      <c r="H130">
        <f t="shared" si="13"/>
        <v>-7.5494268603961689E-2</v>
      </c>
    </row>
    <row r="131" spans="1:8" x14ac:dyDescent="0.35">
      <c r="A131" t="s">
        <v>131</v>
      </c>
      <c r="B131">
        <v>70.58</v>
      </c>
      <c r="C131">
        <f t="shared" si="18"/>
        <v>1.4413378311574198E-2</v>
      </c>
      <c r="D131">
        <f t="shared" ref="D131:D162" si="19">(B131-D130)*(2/(12+1))+D130</f>
        <v>70.043217557679526</v>
      </c>
      <c r="E131">
        <f t="shared" ref="E131:E162" si="20" xml:space="preserve"> (B131 - E130) * (2 / (26 + 1)) + E130</f>
        <v>68.826665832310439</v>
      </c>
      <c r="F131">
        <f t="shared" ref="F131:F188" si="21">D131-E131</f>
        <v>1.2165517253690865</v>
      </c>
      <c r="G131">
        <f t="shared" si="14"/>
        <v>1.3110830808286811</v>
      </c>
      <c r="H131">
        <f t="shared" ref="H131:H188" si="22" xml:space="preserve"> F131 - G131</f>
        <v>-9.4531355459594568E-2</v>
      </c>
    </row>
    <row r="132" spans="1:8" x14ac:dyDescent="0.35">
      <c r="A132" t="s">
        <v>132</v>
      </c>
      <c r="B132">
        <v>69.569999999999993</v>
      </c>
      <c r="C132">
        <f t="shared" si="18"/>
        <v>-1.5970680247312775E-2</v>
      </c>
      <c r="D132">
        <f t="shared" si="19"/>
        <v>69.970414856498053</v>
      </c>
      <c r="E132">
        <f t="shared" si="20"/>
        <v>68.881727622509672</v>
      </c>
      <c r="F132">
        <f t="shared" si="21"/>
        <v>1.0886872339883809</v>
      </c>
      <c r="G132">
        <f t="shared" ref="G132:G188" si="23" xml:space="preserve"> (F132 - G131) * (2 / (9 + 1)) + G131</f>
        <v>1.2666039114606211</v>
      </c>
      <c r="H132">
        <f t="shared" si="22"/>
        <v>-0.17791667747224027</v>
      </c>
    </row>
    <row r="133" spans="1:8" x14ac:dyDescent="0.35">
      <c r="A133" t="s">
        <v>133</v>
      </c>
      <c r="B133">
        <v>70.69</v>
      </c>
      <c r="C133">
        <f t="shared" si="18"/>
        <v>-7.0706359447185647E-4</v>
      </c>
      <c r="D133">
        <f t="shared" si="19"/>
        <v>70.081120263190655</v>
      </c>
      <c r="E133">
        <f t="shared" si="20"/>
        <v>69.015673724545991</v>
      </c>
      <c r="F133">
        <f t="shared" si="21"/>
        <v>1.0654465386446645</v>
      </c>
      <c r="G133">
        <f t="shared" si="23"/>
        <v>1.2263724368974298</v>
      </c>
      <c r="H133">
        <f t="shared" si="22"/>
        <v>-0.16092589825276526</v>
      </c>
    </row>
    <row r="134" spans="1:8" x14ac:dyDescent="0.35">
      <c r="A134" t="s">
        <v>134</v>
      </c>
      <c r="B134">
        <v>70.739999999999995</v>
      </c>
      <c r="C134">
        <f t="shared" si="18"/>
        <v>-4.0911392323841281E-3</v>
      </c>
      <c r="D134">
        <f t="shared" si="19"/>
        <v>70.182486376545938</v>
      </c>
      <c r="E134">
        <f t="shared" si="20"/>
        <v>69.143401596801837</v>
      </c>
      <c r="F134">
        <f t="shared" si="21"/>
        <v>1.0390847797441012</v>
      </c>
      <c r="G134">
        <f t="shared" si="23"/>
        <v>1.188914905466764</v>
      </c>
      <c r="H134">
        <f t="shared" si="22"/>
        <v>-0.14983012572266285</v>
      </c>
    </row>
    <row r="135" spans="1:8" x14ac:dyDescent="0.35">
      <c r="A135" t="s">
        <v>135</v>
      </c>
      <c r="B135">
        <v>71.03</v>
      </c>
      <c r="C135">
        <f t="shared" si="18"/>
        <v>9.6195394493207159E-3</v>
      </c>
      <c r="D135">
        <f t="shared" si="19"/>
        <v>70.312873087846569</v>
      </c>
      <c r="E135">
        <f t="shared" si="20"/>
        <v>69.283149626668362</v>
      </c>
      <c r="F135">
        <f t="shared" si="21"/>
        <v>1.0297234611782073</v>
      </c>
      <c r="G135">
        <f t="shared" si="23"/>
        <v>1.1570766166090527</v>
      </c>
      <c r="H135">
        <f t="shared" si="22"/>
        <v>-0.12735315543084536</v>
      </c>
    </row>
    <row r="136" spans="1:8" x14ac:dyDescent="0.35">
      <c r="A136" t="s">
        <v>136</v>
      </c>
      <c r="B136">
        <v>70.349999999999994</v>
      </c>
      <c r="C136">
        <f t="shared" si="18"/>
        <v>9.2824657939198189E-3</v>
      </c>
      <c r="D136">
        <f t="shared" si="19"/>
        <v>70.318584920485563</v>
      </c>
      <c r="E136">
        <f t="shared" si="20"/>
        <v>69.362175580248476</v>
      </c>
      <c r="F136">
        <f t="shared" si="21"/>
        <v>0.95640934023708724</v>
      </c>
      <c r="G136">
        <f t="shared" si="23"/>
        <v>1.1169431613346597</v>
      </c>
      <c r="H136">
        <f t="shared" si="22"/>
        <v>-0.16053382109757242</v>
      </c>
    </row>
    <row r="137" spans="1:8" x14ac:dyDescent="0.35">
      <c r="A137" t="s">
        <v>137</v>
      </c>
      <c r="B137">
        <v>69.7</v>
      </c>
      <c r="C137">
        <f t="shared" si="18"/>
        <v>2.1543993970264464E-3</v>
      </c>
      <c r="D137">
        <f t="shared" si="19"/>
        <v>70.223418009641634</v>
      </c>
      <c r="E137">
        <f t="shared" si="20"/>
        <v>69.387199611341188</v>
      </c>
      <c r="F137">
        <f t="shared" si="21"/>
        <v>0.83621839830044564</v>
      </c>
      <c r="G137">
        <f t="shared" si="23"/>
        <v>1.0607982087278169</v>
      </c>
      <c r="H137">
        <f t="shared" si="22"/>
        <v>-0.2245798104273713</v>
      </c>
    </row>
    <row r="138" spans="1:8" x14ac:dyDescent="0.35">
      <c r="A138" t="s">
        <v>138</v>
      </c>
      <c r="B138">
        <v>69.55</v>
      </c>
      <c r="C138">
        <f t="shared" si="18"/>
        <v>-6.5921706196543804E-3</v>
      </c>
      <c r="D138">
        <f t="shared" si="19"/>
        <v>70.119815238927529</v>
      </c>
      <c r="E138">
        <f t="shared" si="20"/>
        <v>69.399258899389991</v>
      </c>
      <c r="F138">
        <f t="shared" si="21"/>
        <v>0.72055633953753784</v>
      </c>
      <c r="G138">
        <f t="shared" si="23"/>
        <v>0.9927498348897611</v>
      </c>
      <c r="H138">
        <f t="shared" si="22"/>
        <v>-0.27219349535222326</v>
      </c>
    </row>
    <row r="139" spans="1:8" x14ac:dyDescent="0.35">
      <c r="A139" t="s">
        <v>139</v>
      </c>
      <c r="B139">
        <v>70.010000000000005</v>
      </c>
      <c r="C139">
        <f t="shared" si="18"/>
        <v>-4.1337098275129307E-3</v>
      </c>
      <c r="D139">
        <f t="shared" si="19"/>
        <v>70.102920586784833</v>
      </c>
      <c r="E139">
        <f t="shared" si="20"/>
        <v>69.444498980916663</v>
      </c>
      <c r="F139">
        <f t="shared" si="21"/>
        <v>0.65842160586817045</v>
      </c>
      <c r="G139">
        <f t="shared" si="23"/>
        <v>0.92588418908544301</v>
      </c>
      <c r="H139">
        <f t="shared" si="22"/>
        <v>-0.26746258321727256</v>
      </c>
    </row>
    <row r="140" spans="1:8" x14ac:dyDescent="0.35">
      <c r="A140" t="s">
        <v>140</v>
      </c>
      <c r="B140">
        <v>70.3</v>
      </c>
      <c r="C140">
        <f t="shared" si="18"/>
        <v>9.8635636360440079E-3</v>
      </c>
      <c r="D140">
        <f t="shared" si="19"/>
        <v>70.13324049651024</v>
      </c>
      <c r="E140">
        <f t="shared" si="20"/>
        <v>69.50786942677469</v>
      </c>
      <c r="F140">
        <f t="shared" si="21"/>
        <v>0.62537106973555012</v>
      </c>
      <c r="G140">
        <f t="shared" si="23"/>
        <v>0.86578156521546445</v>
      </c>
      <c r="H140">
        <f t="shared" si="22"/>
        <v>-0.24041049547991433</v>
      </c>
    </row>
    <row r="141" spans="1:8" x14ac:dyDescent="0.35">
      <c r="A141" t="s">
        <v>141</v>
      </c>
      <c r="B141">
        <v>69.61</v>
      </c>
      <c r="C141">
        <f t="shared" si="18"/>
        <v>-4.3087971941323564E-4</v>
      </c>
      <c r="D141">
        <f t="shared" si="19"/>
        <v>70.052741958585585</v>
      </c>
      <c r="E141">
        <f t="shared" si="20"/>
        <v>69.515434654421014</v>
      </c>
      <c r="F141">
        <f t="shared" si="21"/>
        <v>0.53730730416457106</v>
      </c>
      <c r="G141">
        <f t="shared" si="23"/>
        <v>0.80008671300528578</v>
      </c>
      <c r="H141">
        <f t="shared" si="22"/>
        <v>-0.26277940884071471</v>
      </c>
    </row>
    <row r="142" spans="1:8" x14ac:dyDescent="0.35">
      <c r="A142" t="s">
        <v>142</v>
      </c>
      <c r="B142">
        <v>69.64</v>
      </c>
      <c r="C142">
        <f t="shared" si="18"/>
        <v>-1.9340762141327125E-2</v>
      </c>
      <c r="D142">
        <f t="shared" si="19"/>
        <v>69.98924319572626</v>
      </c>
      <c r="E142">
        <f t="shared" si="20"/>
        <v>69.524661717056489</v>
      </c>
      <c r="F142">
        <f t="shared" si="21"/>
        <v>0.46458147866977129</v>
      </c>
      <c r="G142">
        <f t="shared" si="23"/>
        <v>0.73298566613818283</v>
      </c>
      <c r="H142">
        <f t="shared" si="22"/>
        <v>-0.26840418746841155</v>
      </c>
    </row>
    <row r="143" spans="1:8" x14ac:dyDescent="0.35">
      <c r="A143" t="s">
        <v>143</v>
      </c>
      <c r="B143">
        <v>71</v>
      </c>
      <c r="C143">
        <f t="shared" si="18"/>
        <v>-6.1780595269281743E-3</v>
      </c>
      <c r="D143">
        <f t="shared" si="19"/>
        <v>70.144744242537598</v>
      </c>
      <c r="E143">
        <f t="shared" si="20"/>
        <v>69.633946034311563</v>
      </c>
      <c r="F143">
        <f t="shared" si="21"/>
        <v>0.51079820822603494</v>
      </c>
      <c r="G143">
        <f t="shared" si="23"/>
        <v>0.68854817455575323</v>
      </c>
      <c r="H143">
        <f t="shared" si="22"/>
        <v>-0.17774996632971829</v>
      </c>
    </row>
    <row r="144" spans="1:8" x14ac:dyDescent="0.35">
      <c r="A144" t="s">
        <v>144</v>
      </c>
      <c r="B144">
        <v>71.44</v>
      </c>
      <c r="C144">
        <f t="shared" si="18"/>
        <v>7.4464692523383636E-3</v>
      </c>
      <c r="D144">
        <f t="shared" si="19"/>
        <v>70.344014359070272</v>
      </c>
      <c r="E144">
        <f t="shared" si="20"/>
        <v>69.76772780954775</v>
      </c>
      <c r="F144">
        <f t="shared" si="21"/>
        <v>0.57628654952252134</v>
      </c>
      <c r="G144">
        <f t="shared" si="23"/>
        <v>0.66609584954910683</v>
      </c>
      <c r="H144">
        <f t="shared" si="22"/>
        <v>-8.9809300026585492E-2</v>
      </c>
    </row>
    <row r="145" spans="1:8" x14ac:dyDescent="0.35">
      <c r="A145" t="s">
        <v>145</v>
      </c>
      <c r="B145">
        <v>70.91</v>
      </c>
      <c r="C145">
        <f t="shared" si="18"/>
        <v>5.7987574976823457E-3</v>
      </c>
      <c r="D145">
        <f t="shared" si="19"/>
        <v>70.431089073059454</v>
      </c>
      <c r="E145">
        <f t="shared" si="20"/>
        <v>69.852340564396059</v>
      </c>
      <c r="F145">
        <f t="shared" si="21"/>
        <v>0.578748508663395</v>
      </c>
      <c r="G145">
        <f t="shared" si="23"/>
        <v>0.64862638137196449</v>
      </c>
      <c r="H145">
        <f t="shared" si="22"/>
        <v>-6.9877872708569488E-2</v>
      </c>
    </row>
    <row r="146" spans="1:8" x14ac:dyDescent="0.35">
      <c r="A146" t="s">
        <v>146</v>
      </c>
      <c r="B146">
        <v>70.5</v>
      </c>
      <c r="C146">
        <f t="shared" si="18"/>
        <v>4.1219587890657002E-3</v>
      </c>
      <c r="D146">
        <f t="shared" si="19"/>
        <v>70.441690754127237</v>
      </c>
      <c r="E146">
        <f t="shared" si="20"/>
        <v>69.900315337403754</v>
      </c>
      <c r="F146">
        <f t="shared" si="21"/>
        <v>0.54137541672348277</v>
      </c>
      <c r="G146">
        <f t="shared" si="23"/>
        <v>0.62717618844226819</v>
      </c>
      <c r="H146">
        <f t="shared" si="22"/>
        <v>-8.5800771718785418E-2</v>
      </c>
    </row>
    <row r="147" spans="1:8" x14ac:dyDescent="0.35">
      <c r="A147" t="s">
        <v>147</v>
      </c>
      <c r="B147">
        <v>70.209999999999994</v>
      </c>
      <c r="C147">
        <f t="shared" si="18"/>
        <v>3.5671008787561821E-3</v>
      </c>
      <c r="D147">
        <f t="shared" si="19"/>
        <v>70.406046022723046</v>
      </c>
      <c r="E147">
        <f t="shared" si="20"/>
        <v>69.923254942040515</v>
      </c>
      <c r="F147">
        <f t="shared" si="21"/>
        <v>0.48279108068253151</v>
      </c>
      <c r="G147">
        <f t="shared" si="23"/>
        <v>0.59829916689032081</v>
      </c>
      <c r="H147">
        <f t="shared" si="22"/>
        <v>-0.1155080862077893</v>
      </c>
    </row>
    <row r="148" spans="1:8" x14ac:dyDescent="0.35">
      <c r="A148" t="s">
        <v>148</v>
      </c>
      <c r="B148">
        <v>69.959999999999994</v>
      </c>
      <c r="C148">
        <f t="shared" si="18"/>
        <v>9.1901853029959599E-3</v>
      </c>
      <c r="D148">
        <f t="shared" si="19"/>
        <v>70.337423557688737</v>
      </c>
      <c r="E148">
        <f t="shared" si="20"/>
        <v>69.925976798185658</v>
      </c>
      <c r="F148">
        <f t="shared" si="21"/>
        <v>0.41144675950307885</v>
      </c>
      <c r="G148">
        <f t="shared" si="23"/>
        <v>0.56092868541287244</v>
      </c>
      <c r="H148">
        <f t="shared" si="22"/>
        <v>-0.14948192590979359</v>
      </c>
    </row>
    <row r="149" spans="1:8" x14ac:dyDescent="0.35">
      <c r="A149" t="s">
        <v>149</v>
      </c>
      <c r="B149">
        <v>69.319999999999993</v>
      </c>
      <c r="C149">
        <f t="shared" si="18"/>
        <v>1.4970121874407234E-2</v>
      </c>
      <c r="D149">
        <f t="shared" si="19"/>
        <v>70.180896856505854</v>
      </c>
      <c r="E149">
        <f t="shared" si="20"/>
        <v>69.881089627949677</v>
      </c>
      <c r="F149">
        <f t="shared" si="21"/>
        <v>0.29980722855617614</v>
      </c>
      <c r="G149">
        <f t="shared" si="23"/>
        <v>0.50870439404153323</v>
      </c>
      <c r="H149">
        <f t="shared" si="22"/>
        <v>-0.20889716548535708</v>
      </c>
    </row>
    <row r="150" spans="1:8" x14ac:dyDescent="0.35">
      <c r="A150" t="s">
        <v>150</v>
      </c>
      <c r="B150">
        <v>68.290000000000006</v>
      </c>
      <c r="C150">
        <f t="shared" si="18"/>
        <v>6.6113514893502987E-3</v>
      </c>
      <c r="D150">
        <f t="shared" si="19"/>
        <v>69.889989647812641</v>
      </c>
      <c r="E150">
        <f t="shared" si="20"/>
        <v>69.763231136990441</v>
      </c>
      <c r="F150">
        <f t="shared" si="21"/>
        <v>0.12675851082219936</v>
      </c>
      <c r="G150">
        <f t="shared" si="23"/>
        <v>0.43231521739766643</v>
      </c>
      <c r="H150">
        <f t="shared" si="22"/>
        <v>-0.30555670657546707</v>
      </c>
    </row>
    <row r="151" spans="1:8" x14ac:dyDescent="0.35">
      <c r="A151" t="s">
        <v>151</v>
      </c>
      <c r="B151">
        <v>67.84</v>
      </c>
      <c r="C151">
        <f t="shared" si="18"/>
        <v>-3.3845959762122228E-3</v>
      </c>
      <c r="D151">
        <f t="shared" si="19"/>
        <v>69.574606625072235</v>
      </c>
      <c r="E151">
        <f t="shared" si="20"/>
        <v>69.62076957128744</v>
      </c>
      <c r="F151">
        <f t="shared" si="21"/>
        <v>-4.616294621520467E-2</v>
      </c>
      <c r="G151">
        <f t="shared" si="23"/>
        <v>0.33661958467509223</v>
      </c>
      <c r="H151">
        <f t="shared" si="22"/>
        <v>-0.3827825308902969</v>
      </c>
    </row>
    <row r="152" spans="1:8" x14ac:dyDescent="0.35">
      <c r="A152" t="s">
        <v>152</v>
      </c>
      <c r="B152">
        <v>68.069999999999993</v>
      </c>
      <c r="C152">
        <f t="shared" si="18"/>
        <v>2.6478391463042772E-3</v>
      </c>
      <c r="D152">
        <f t="shared" si="19"/>
        <v>69.343128682753431</v>
      </c>
      <c r="E152">
        <f t="shared" si="20"/>
        <v>69.50589775119208</v>
      </c>
      <c r="F152">
        <f t="shared" si="21"/>
        <v>-0.16276906843864936</v>
      </c>
      <c r="G152">
        <f t="shared" si="23"/>
        <v>0.23674185405234391</v>
      </c>
      <c r="H152">
        <f t="shared" si="22"/>
        <v>-0.39951092249099329</v>
      </c>
    </row>
    <row r="153" spans="1:8" x14ac:dyDescent="0.35">
      <c r="A153" t="s">
        <v>153</v>
      </c>
      <c r="B153">
        <v>67.89</v>
      </c>
      <c r="C153">
        <f t="shared" si="18"/>
        <v>5.7611504350716623E-3</v>
      </c>
      <c r="D153">
        <f t="shared" si="19"/>
        <v>69.119570423868282</v>
      </c>
      <c r="E153">
        <f t="shared" si="20"/>
        <v>69.386201621474143</v>
      </c>
      <c r="F153">
        <f t="shared" si="21"/>
        <v>-0.26663119760586085</v>
      </c>
      <c r="G153">
        <f t="shared" si="23"/>
        <v>0.13606724372070295</v>
      </c>
      <c r="H153">
        <f t="shared" si="22"/>
        <v>-0.40269844132656379</v>
      </c>
    </row>
    <row r="154" spans="1:8" x14ac:dyDescent="0.35">
      <c r="A154" t="s">
        <v>154</v>
      </c>
      <c r="B154">
        <v>67.5</v>
      </c>
      <c r="C154">
        <f t="shared" si="18"/>
        <v>-2.8108606420320795E-3</v>
      </c>
      <c r="D154">
        <f t="shared" si="19"/>
        <v>68.870405743273167</v>
      </c>
      <c r="E154">
        <f t="shared" si="20"/>
        <v>69.24648298284643</v>
      </c>
      <c r="F154">
        <f t="shared" si="21"/>
        <v>-0.376077239573263</v>
      </c>
      <c r="G154">
        <f t="shared" si="23"/>
        <v>3.3638347061909768E-2</v>
      </c>
      <c r="H154">
        <f t="shared" si="22"/>
        <v>-0.40971558663517277</v>
      </c>
    </row>
    <row r="155" spans="1:8" x14ac:dyDescent="0.35">
      <c r="A155" t="s">
        <v>155</v>
      </c>
      <c r="B155">
        <v>67.69</v>
      </c>
      <c r="C155">
        <f t="shared" si="18"/>
        <v>7.7117392417430358E-3</v>
      </c>
      <c r="D155">
        <f t="shared" si="19"/>
        <v>68.688804859692681</v>
      </c>
      <c r="E155">
        <f t="shared" si="20"/>
        <v>69.131187947080022</v>
      </c>
      <c r="F155">
        <f t="shared" si="21"/>
        <v>-0.44238308738734133</v>
      </c>
      <c r="G155">
        <f t="shared" si="23"/>
        <v>-6.1565939827940452E-2</v>
      </c>
      <c r="H155">
        <f t="shared" si="22"/>
        <v>-0.38081714755940088</v>
      </c>
    </row>
    <row r="156" spans="1:8" x14ac:dyDescent="0.35">
      <c r="A156" t="s">
        <v>156</v>
      </c>
      <c r="B156">
        <v>67.17</v>
      </c>
      <c r="C156">
        <f t="shared" si="18"/>
        <v>8.936551086252693E-4</v>
      </c>
      <c r="D156">
        <f t="shared" si="19"/>
        <v>68.455142573586116</v>
      </c>
      <c r="E156">
        <f t="shared" si="20"/>
        <v>68.98591476581484</v>
      </c>
      <c r="F156">
        <f t="shared" si="21"/>
        <v>-0.53077219222872429</v>
      </c>
      <c r="G156">
        <f t="shared" si="23"/>
        <v>-0.15540719030809724</v>
      </c>
      <c r="H156">
        <f t="shared" si="22"/>
        <v>-0.37536500192062705</v>
      </c>
    </row>
    <row r="157" spans="1:8" x14ac:dyDescent="0.35">
      <c r="A157" t="s">
        <v>157</v>
      </c>
      <c r="B157">
        <v>67.11</v>
      </c>
      <c r="C157">
        <f t="shared" si="18"/>
        <v>1.7897096499717093E-3</v>
      </c>
      <c r="D157">
        <f t="shared" si="19"/>
        <v>68.248197562265176</v>
      </c>
      <c r="E157">
        <f t="shared" si="20"/>
        <v>68.846958116495216</v>
      </c>
      <c r="F157">
        <f t="shared" si="21"/>
        <v>-0.59876055423004004</v>
      </c>
      <c r="G157">
        <f t="shared" si="23"/>
        <v>-0.2440778630924858</v>
      </c>
      <c r="H157">
        <f t="shared" si="22"/>
        <v>-0.35468269113755424</v>
      </c>
    </row>
    <row r="158" spans="1:8" x14ac:dyDescent="0.35">
      <c r="A158" t="s">
        <v>158</v>
      </c>
      <c r="B158">
        <v>66.989999999999995</v>
      </c>
      <c r="C158">
        <f t="shared" si="18"/>
        <v>4.3384015985981411E-3</v>
      </c>
      <c r="D158">
        <f t="shared" si="19"/>
        <v>68.054628706532071</v>
      </c>
      <c r="E158">
        <f t="shared" si="20"/>
        <v>68.709405663421492</v>
      </c>
      <c r="F158">
        <f t="shared" si="21"/>
        <v>-0.65477695688942106</v>
      </c>
      <c r="G158">
        <f t="shared" si="23"/>
        <v>-0.32621768185187283</v>
      </c>
      <c r="H158">
        <f t="shared" si="22"/>
        <v>-0.32855927503754823</v>
      </c>
    </row>
    <row r="159" spans="1:8" x14ac:dyDescent="0.35">
      <c r="A159" t="s">
        <v>159</v>
      </c>
      <c r="B159">
        <v>66.7</v>
      </c>
      <c r="C159">
        <f t="shared" si="18"/>
        <v>-7.4682946075257991E-3</v>
      </c>
      <c r="D159">
        <f t="shared" si="19"/>
        <v>67.846224290142516</v>
      </c>
      <c r="E159">
        <f t="shared" si="20"/>
        <v>68.560560799464341</v>
      </c>
      <c r="F159">
        <f t="shared" si="21"/>
        <v>-0.71433650932182502</v>
      </c>
      <c r="G159">
        <f t="shared" si="23"/>
        <v>-0.40384144734586325</v>
      </c>
      <c r="H159">
        <f t="shared" si="22"/>
        <v>-0.31049506197596177</v>
      </c>
    </row>
    <row r="160" spans="1:8" x14ac:dyDescent="0.35">
      <c r="A160" t="s">
        <v>160</v>
      </c>
      <c r="B160">
        <v>67.2</v>
      </c>
      <c r="C160">
        <f t="shared" si="18"/>
        <v>-7.4377095284454138E-4</v>
      </c>
      <c r="D160">
        <f t="shared" si="19"/>
        <v>67.746805168582128</v>
      </c>
      <c r="E160">
        <f t="shared" si="20"/>
        <v>68.459778518022532</v>
      </c>
      <c r="F160">
        <f t="shared" si="21"/>
        <v>-0.71297334944040358</v>
      </c>
      <c r="G160">
        <f t="shared" si="23"/>
        <v>-0.46566782776477134</v>
      </c>
      <c r="H160">
        <f t="shared" si="22"/>
        <v>-0.24730552167563224</v>
      </c>
    </row>
    <row r="161" spans="1:8" x14ac:dyDescent="0.35">
      <c r="A161" t="s">
        <v>161</v>
      </c>
      <c r="B161">
        <v>67.25</v>
      </c>
      <c r="C161">
        <f t="shared" si="18"/>
        <v>3.8736639617724237E-3</v>
      </c>
      <c r="D161">
        <f t="shared" si="19"/>
        <v>67.670373604184874</v>
      </c>
      <c r="E161">
        <f t="shared" si="20"/>
        <v>68.370165294465309</v>
      </c>
      <c r="F161">
        <f t="shared" si="21"/>
        <v>-0.69979169028043486</v>
      </c>
      <c r="G161">
        <f t="shared" si="23"/>
        <v>-0.512492600267904</v>
      </c>
      <c r="H161">
        <f t="shared" si="22"/>
        <v>-0.18729909001253087</v>
      </c>
    </row>
    <row r="162" spans="1:8" x14ac:dyDescent="0.35">
      <c r="A162" t="s">
        <v>162</v>
      </c>
      <c r="B162">
        <v>66.989999999999995</v>
      </c>
      <c r="C162">
        <f t="shared" ref="C162:C187" si="24">LN(B162/B163)</f>
        <v>5.988938397645055E-3</v>
      </c>
      <c r="D162">
        <f t="shared" si="19"/>
        <v>67.565700742002591</v>
      </c>
      <c r="E162">
        <f t="shared" si="20"/>
        <v>68.26793082820862</v>
      </c>
      <c r="F162">
        <f t="shared" si="21"/>
        <v>-0.70223008620602911</v>
      </c>
      <c r="G162">
        <f t="shared" si="23"/>
        <v>-0.55044009745552902</v>
      </c>
      <c r="H162">
        <f t="shared" si="22"/>
        <v>-0.15178998875050009</v>
      </c>
    </row>
    <row r="163" spans="1:8" x14ac:dyDescent="0.35">
      <c r="A163" t="s">
        <v>163</v>
      </c>
      <c r="B163">
        <v>66.59</v>
      </c>
      <c r="C163">
        <f t="shared" si="24"/>
        <v>-7.50581736056186E-4</v>
      </c>
      <c r="D163">
        <f t="shared" ref="D163:D188" si="25">(B163-D162)*(2/(12+1))+D162</f>
        <v>67.415592935540658</v>
      </c>
      <c r="E163">
        <f t="shared" ref="E163:E188" si="26" xml:space="preserve"> (B163 - E162) * (2 / (26 + 1)) + E162</f>
        <v>68.143639655748729</v>
      </c>
      <c r="F163">
        <f t="shared" si="21"/>
        <v>-0.72804672020807004</v>
      </c>
      <c r="G163">
        <f t="shared" si="23"/>
        <v>-0.58596142200603718</v>
      </c>
      <c r="H163">
        <f t="shared" si="22"/>
        <v>-0.14208529820203286</v>
      </c>
    </row>
    <row r="164" spans="1:8" x14ac:dyDescent="0.35">
      <c r="A164" t="s">
        <v>164</v>
      </c>
      <c r="B164">
        <v>66.64</v>
      </c>
      <c r="C164">
        <f t="shared" si="24"/>
        <v>-1.7846993625060419E-2</v>
      </c>
      <c r="D164">
        <f t="shared" si="25"/>
        <v>67.296270945457479</v>
      </c>
      <c r="E164">
        <f t="shared" si="26"/>
        <v>68.032258940508086</v>
      </c>
      <c r="F164">
        <f t="shared" si="21"/>
        <v>-0.73598799505060697</v>
      </c>
      <c r="G164">
        <f t="shared" si="23"/>
        <v>-0.61596673661495116</v>
      </c>
      <c r="H164">
        <f t="shared" si="22"/>
        <v>-0.12002125843565581</v>
      </c>
    </row>
    <row r="165" spans="1:8" x14ac:dyDescent="0.35">
      <c r="A165" t="s">
        <v>165</v>
      </c>
      <c r="B165">
        <v>67.84</v>
      </c>
      <c r="C165">
        <f t="shared" si="24"/>
        <v>1.9950043821839139E-2</v>
      </c>
      <c r="D165">
        <f t="shared" si="25"/>
        <v>67.379921569233247</v>
      </c>
      <c r="E165">
        <f t="shared" si="26"/>
        <v>68.01801753750749</v>
      </c>
      <c r="F165">
        <f t="shared" si="21"/>
        <v>-0.63809596827424286</v>
      </c>
      <c r="G165">
        <f t="shared" si="23"/>
        <v>-0.62039258294680955</v>
      </c>
      <c r="H165">
        <f t="shared" si="22"/>
        <v>-1.7703385327433319E-2</v>
      </c>
    </row>
    <row r="166" spans="1:8" x14ac:dyDescent="0.35">
      <c r="A166" t="s">
        <v>166</v>
      </c>
      <c r="B166">
        <v>66.5</v>
      </c>
      <c r="C166">
        <f t="shared" si="24"/>
        <v>1.8209911379423169E-2</v>
      </c>
      <c r="D166">
        <f t="shared" si="25"/>
        <v>67.244549020120445</v>
      </c>
      <c r="E166">
        <f t="shared" si="26"/>
        <v>67.905571793988415</v>
      </c>
      <c r="F166">
        <f t="shared" si="21"/>
        <v>-0.6610227738679697</v>
      </c>
      <c r="G166">
        <f t="shared" si="23"/>
        <v>-0.62851862113104162</v>
      </c>
      <c r="H166">
        <f t="shared" si="22"/>
        <v>-3.2504152736928082E-2</v>
      </c>
    </row>
    <row r="167" spans="1:8" x14ac:dyDescent="0.35">
      <c r="A167" t="s">
        <v>167</v>
      </c>
      <c r="B167">
        <v>65.3</v>
      </c>
      <c r="C167">
        <f t="shared" si="24"/>
        <v>-1.3990495836714868E-2</v>
      </c>
      <c r="D167">
        <f t="shared" si="25"/>
        <v>66.945387632409606</v>
      </c>
      <c r="E167">
        <f t="shared" si="26"/>
        <v>67.712566475915196</v>
      </c>
      <c r="F167">
        <f t="shared" si="21"/>
        <v>-0.76717884350559018</v>
      </c>
      <c r="G167">
        <f t="shared" si="23"/>
        <v>-0.65625066560595136</v>
      </c>
      <c r="H167">
        <f t="shared" si="22"/>
        <v>-0.11092817789963882</v>
      </c>
    </row>
    <row r="168" spans="1:8" x14ac:dyDescent="0.35">
      <c r="A168" t="s">
        <v>168</v>
      </c>
      <c r="B168">
        <v>66.22</v>
      </c>
      <c r="C168">
        <f t="shared" si="24"/>
        <v>1.2613190545915623E-2</v>
      </c>
      <c r="D168">
        <f t="shared" si="25"/>
        <v>66.833789535115827</v>
      </c>
      <c r="E168">
        <f t="shared" si="26"/>
        <v>67.60200599621777</v>
      </c>
      <c r="F168">
        <f t="shared" si="21"/>
        <v>-0.76821646110194308</v>
      </c>
      <c r="G168">
        <f t="shared" si="23"/>
        <v>-0.67864382470514972</v>
      </c>
      <c r="H168">
        <f t="shared" si="22"/>
        <v>-8.9572636396793359E-2</v>
      </c>
    </row>
    <row r="169" spans="1:8" x14ac:dyDescent="0.35">
      <c r="A169" t="s">
        <v>169</v>
      </c>
      <c r="B169">
        <v>65.39</v>
      </c>
      <c r="C169">
        <f t="shared" si="24"/>
        <v>-3.3587817836015694E-3</v>
      </c>
      <c r="D169">
        <f t="shared" si="25"/>
        <v>66.611668068174936</v>
      </c>
      <c r="E169">
        <f t="shared" si="26"/>
        <v>67.438153700201639</v>
      </c>
      <c r="F169">
        <f t="shared" si="21"/>
        <v>-0.82648563202670289</v>
      </c>
      <c r="G169">
        <f t="shared" si="23"/>
        <v>-0.70821218616946036</v>
      </c>
      <c r="H169">
        <f t="shared" si="22"/>
        <v>-0.11827344585724253</v>
      </c>
    </row>
    <row r="170" spans="1:8" x14ac:dyDescent="0.35">
      <c r="A170" t="s">
        <v>170</v>
      </c>
      <c r="B170">
        <v>65.61</v>
      </c>
      <c r="C170">
        <f t="shared" si="24"/>
        <v>1.4740018138919633E-2</v>
      </c>
      <c r="D170">
        <f t="shared" si="25"/>
        <v>66.457565288455712</v>
      </c>
      <c r="E170">
        <f t="shared" si="26"/>
        <v>67.302734907594115</v>
      </c>
      <c r="F170">
        <f t="shared" si="21"/>
        <v>-0.84516961913840305</v>
      </c>
      <c r="G170">
        <f t="shared" si="23"/>
        <v>-0.73560367276324889</v>
      </c>
      <c r="H170">
        <f t="shared" si="22"/>
        <v>-0.10956594637515416</v>
      </c>
    </row>
    <row r="171" spans="1:8" x14ac:dyDescent="0.35">
      <c r="A171" t="s">
        <v>171</v>
      </c>
      <c r="B171">
        <v>64.650000000000006</v>
      </c>
      <c r="C171">
        <f t="shared" si="24"/>
        <v>4.0297636677744221E-3</v>
      </c>
      <c r="D171">
        <f t="shared" si="25"/>
        <v>66.179478321000985</v>
      </c>
      <c r="E171">
        <f t="shared" si="26"/>
        <v>67.106236025550103</v>
      </c>
      <c r="F171">
        <f t="shared" si="21"/>
        <v>-0.92675770454911799</v>
      </c>
      <c r="G171">
        <f t="shared" si="23"/>
        <v>-0.77383447912042269</v>
      </c>
      <c r="H171">
        <f t="shared" si="22"/>
        <v>-0.1529232254286953</v>
      </c>
    </row>
    <row r="172" spans="1:8" x14ac:dyDescent="0.35">
      <c r="A172" t="s">
        <v>172</v>
      </c>
      <c r="B172">
        <v>64.39</v>
      </c>
      <c r="C172">
        <f t="shared" si="24"/>
        <v>1.2973999881576917E-2</v>
      </c>
      <c r="D172">
        <f t="shared" si="25"/>
        <v>65.90417396392391</v>
      </c>
      <c r="E172">
        <f t="shared" si="26"/>
        <v>66.905033356990842</v>
      </c>
      <c r="F172">
        <f t="shared" si="21"/>
        <v>-1.0008593930669321</v>
      </c>
      <c r="G172">
        <f t="shared" si="23"/>
        <v>-0.81923946190972452</v>
      </c>
      <c r="H172">
        <f t="shared" si="22"/>
        <v>-0.18161993115720754</v>
      </c>
    </row>
    <row r="173" spans="1:8" x14ac:dyDescent="0.35">
      <c r="A173" t="s">
        <v>173</v>
      </c>
      <c r="B173">
        <v>63.56</v>
      </c>
      <c r="C173">
        <f t="shared" si="24"/>
        <v>2.8359874057405101E-3</v>
      </c>
      <c r="D173">
        <f t="shared" si="25"/>
        <v>65.543531815627929</v>
      </c>
      <c r="E173">
        <f t="shared" si="26"/>
        <v>66.657253108324852</v>
      </c>
      <c r="F173">
        <f t="shared" si="21"/>
        <v>-1.1137212926969227</v>
      </c>
      <c r="G173">
        <f t="shared" si="23"/>
        <v>-0.87813582806716417</v>
      </c>
      <c r="H173">
        <f t="shared" si="22"/>
        <v>-0.23558546462975849</v>
      </c>
    </row>
    <row r="174" spans="1:8" x14ac:dyDescent="0.35">
      <c r="A174" t="s">
        <v>174</v>
      </c>
      <c r="B174">
        <v>63.38</v>
      </c>
      <c r="C174">
        <f t="shared" si="24"/>
        <v>-8.0145003514772144E-3</v>
      </c>
      <c r="D174">
        <f t="shared" si="25"/>
        <v>65.210680767069789</v>
      </c>
      <c r="E174">
        <f t="shared" si="26"/>
        <v>66.414493618819307</v>
      </c>
      <c r="F174">
        <f t="shared" si="21"/>
        <v>-1.2038128517495181</v>
      </c>
      <c r="G174">
        <f t="shared" si="23"/>
        <v>-0.94327123280363501</v>
      </c>
      <c r="H174">
        <f t="shared" si="22"/>
        <v>-0.26054161894588312</v>
      </c>
    </row>
    <row r="175" spans="1:8" x14ac:dyDescent="0.35">
      <c r="A175" t="s">
        <v>175</v>
      </c>
      <c r="B175">
        <v>63.89</v>
      </c>
      <c r="C175">
        <f t="shared" si="24"/>
        <v>1.5664163603879037E-3</v>
      </c>
      <c r="D175">
        <f t="shared" si="25"/>
        <v>65.007499110597507</v>
      </c>
      <c r="E175">
        <f t="shared" si="26"/>
        <v>66.227494091499352</v>
      </c>
      <c r="F175">
        <f t="shared" si="21"/>
        <v>-1.2199949809018449</v>
      </c>
      <c r="G175">
        <f t="shared" si="23"/>
        <v>-0.99861598242327698</v>
      </c>
      <c r="H175">
        <f t="shared" si="22"/>
        <v>-0.2213789984785679</v>
      </c>
    </row>
    <row r="176" spans="1:8" x14ac:dyDescent="0.35">
      <c r="A176" t="s">
        <v>176</v>
      </c>
      <c r="B176">
        <v>63.79</v>
      </c>
      <c r="C176">
        <f t="shared" si="24"/>
        <v>-3.1347962639157411E-4</v>
      </c>
      <c r="D176">
        <f t="shared" si="25"/>
        <v>64.820191555120971</v>
      </c>
      <c r="E176">
        <f t="shared" si="26"/>
        <v>66.046938973610509</v>
      </c>
      <c r="F176">
        <f t="shared" si="21"/>
        <v>-1.2267474184895377</v>
      </c>
      <c r="G176">
        <f t="shared" si="23"/>
        <v>-1.0442422696365292</v>
      </c>
      <c r="H176">
        <f t="shared" si="22"/>
        <v>-0.1825051488530085</v>
      </c>
    </row>
    <row r="177" spans="1:8" x14ac:dyDescent="0.35">
      <c r="A177" t="s">
        <v>177</v>
      </c>
      <c r="B177">
        <v>63.81</v>
      </c>
      <c r="C177">
        <f t="shared" si="24"/>
        <v>1.4522749324843494E-2</v>
      </c>
      <c r="D177">
        <f t="shared" si="25"/>
        <v>64.664777469717748</v>
      </c>
      <c r="E177">
        <f t="shared" si="26"/>
        <v>65.881239790380107</v>
      </c>
      <c r="F177">
        <f t="shared" si="21"/>
        <v>-1.2164623206623588</v>
      </c>
      <c r="G177">
        <f t="shared" si="23"/>
        <v>-1.0786862798416952</v>
      </c>
      <c r="H177">
        <f t="shared" si="22"/>
        <v>-0.13777604082066364</v>
      </c>
    </row>
    <row r="178" spans="1:8" x14ac:dyDescent="0.35">
      <c r="A178" t="s">
        <v>178</v>
      </c>
      <c r="B178">
        <v>62.89</v>
      </c>
      <c r="C178">
        <f t="shared" si="24"/>
        <v>1.3446656904795786E-2</v>
      </c>
      <c r="D178">
        <f t="shared" si="25"/>
        <v>64.391734782068866</v>
      </c>
      <c r="E178">
        <f t="shared" si="26"/>
        <v>65.659666472574173</v>
      </c>
      <c r="F178">
        <f t="shared" si="21"/>
        <v>-1.2679316905053071</v>
      </c>
      <c r="G178">
        <f t="shared" si="23"/>
        <v>-1.1165353619744176</v>
      </c>
      <c r="H178">
        <f t="shared" si="22"/>
        <v>-0.15139632853088947</v>
      </c>
    </row>
    <row r="179" spans="1:8" x14ac:dyDescent="0.35">
      <c r="A179" t="s">
        <v>179</v>
      </c>
      <c r="B179">
        <v>62.05</v>
      </c>
      <c r="C179">
        <f t="shared" si="24"/>
        <v>-4.5023391701430526E-3</v>
      </c>
      <c r="D179">
        <f t="shared" si="25"/>
        <v>64.031467892519814</v>
      </c>
      <c r="E179">
        <f t="shared" si="26"/>
        <v>65.392283770902011</v>
      </c>
      <c r="F179">
        <f t="shared" si="21"/>
        <v>-1.3608158783821978</v>
      </c>
      <c r="G179">
        <f t="shared" si="23"/>
        <v>-1.1653914652559736</v>
      </c>
      <c r="H179">
        <f t="shared" si="22"/>
        <v>-0.19542441312622416</v>
      </c>
    </row>
    <row r="180" spans="1:8" x14ac:dyDescent="0.35">
      <c r="A180" t="s">
        <v>180</v>
      </c>
      <c r="B180">
        <v>62.33</v>
      </c>
      <c r="C180">
        <f t="shared" si="24"/>
        <v>9.5108317467459368E-3</v>
      </c>
      <c r="D180">
        <f t="shared" si="25"/>
        <v>63.76970360136292</v>
      </c>
      <c r="E180">
        <f t="shared" si="26"/>
        <v>65.165447936020385</v>
      </c>
      <c r="F180">
        <f t="shared" si="21"/>
        <v>-1.3957443346574649</v>
      </c>
      <c r="G180">
        <f t="shared" si="23"/>
        <v>-1.2114620391362718</v>
      </c>
      <c r="H180">
        <f t="shared" si="22"/>
        <v>-0.18428229552119313</v>
      </c>
    </row>
    <row r="181" spans="1:8" x14ac:dyDescent="0.35">
      <c r="A181" t="s">
        <v>181</v>
      </c>
      <c r="B181">
        <v>61.74</v>
      </c>
      <c r="C181">
        <f t="shared" si="24"/>
        <v>4.2201004036181381E-3</v>
      </c>
      <c r="D181">
        <f t="shared" si="25"/>
        <v>63.457441508845548</v>
      </c>
      <c r="E181">
        <f t="shared" si="26"/>
        <v>64.911711051870725</v>
      </c>
      <c r="F181">
        <f t="shared" si="21"/>
        <v>-1.4542695430251769</v>
      </c>
      <c r="G181">
        <f t="shared" si="23"/>
        <v>-1.2600235399140529</v>
      </c>
      <c r="H181">
        <f t="shared" si="22"/>
        <v>-0.19424600311112394</v>
      </c>
    </row>
    <row r="182" spans="1:8" x14ac:dyDescent="0.35">
      <c r="A182" t="s">
        <v>182</v>
      </c>
      <c r="B182">
        <v>61.48</v>
      </c>
      <c r="C182">
        <f t="shared" si="24"/>
        <v>2.2797599842894947E-3</v>
      </c>
      <c r="D182">
        <f t="shared" si="25"/>
        <v>63.153219738253924</v>
      </c>
      <c r="E182">
        <f t="shared" si="26"/>
        <v>64.657510233213628</v>
      </c>
      <c r="F182">
        <f t="shared" si="21"/>
        <v>-1.5042904949597045</v>
      </c>
      <c r="G182">
        <f t="shared" si="23"/>
        <v>-1.3088769309231831</v>
      </c>
      <c r="H182">
        <f t="shared" si="22"/>
        <v>-0.19541356403652133</v>
      </c>
    </row>
    <row r="183" spans="1:8" x14ac:dyDescent="0.35">
      <c r="A183" t="s">
        <v>183</v>
      </c>
      <c r="B183">
        <v>61.34</v>
      </c>
      <c r="C183">
        <f t="shared" si="24"/>
        <v>-4.3920363403738231E-3</v>
      </c>
      <c r="D183">
        <f t="shared" si="25"/>
        <v>62.874262855445629</v>
      </c>
      <c r="E183">
        <f t="shared" si="26"/>
        <v>64.41176873445707</v>
      </c>
      <c r="F183">
        <f t="shared" si="21"/>
        <v>-1.5375058790114409</v>
      </c>
      <c r="G183">
        <f t="shared" si="23"/>
        <v>-1.3546027205408346</v>
      </c>
      <c r="H183">
        <f t="shared" si="22"/>
        <v>-0.18290315847060623</v>
      </c>
    </row>
    <row r="184" spans="1:8" x14ac:dyDescent="0.35">
      <c r="A184" t="s">
        <v>184</v>
      </c>
      <c r="B184">
        <v>61.61</v>
      </c>
      <c r="C184">
        <f t="shared" si="24"/>
        <v>-1.2580811096215647E-2</v>
      </c>
      <c r="D184">
        <f t="shared" si="25"/>
        <v>62.679760877684764</v>
      </c>
      <c r="E184">
        <f t="shared" si="26"/>
        <v>64.204230309682472</v>
      </c>
      <c r="F184">
        <f t="shared" si="21"/>
        <v>-1.5244694319977086</v>
      </c>
      <c r="G184">
        <f t="shared" si="23"/>
        <v>-1.3885760628322095</v>
      </c>
      <c r="H184">
        <f t="shared" si="22"/>
        <v>-0.1358933691654991</v>
      </c>
    </row>
    <row r="185" spans="1:8" x14ac:dyDescent="0.35">
      <c r="A185" t="s">
        <v>185</v>
      </c>
      <c r="B185">
        <v>62.39</v>
      </c>
      <c r="C185">
        <f t="shared" si="24"/>
        <v>6.7546091486788912E-3</v>
      </c>
      <c r="D185">
        <f t="shared" si="25"/>
        <v>62.635182281117878</v>
      </c>
      <c r="E185">
        <f t="shared" si="26"/>
        <v>64.069842879335624</v>
      </c>
      <c r="F185">
        <f t="shared" si="21"/>
        <v>-1.4346605982177465</v>
      </c>
      <c r="G185">
        <f t="shared" si="23"/>
        <v>-1.3977929699093168</v>
      </c>
      <c r="H185">
        <f t="shared" si="22"/>
        <v>-3.6867628308429712E-2</v>
      </c>
    </row>
    <row r="186" spans="1:8" x14ac:dyDescent="0.35">
      <c r="A186" t="s">
        <v>186</v>
      </c>
      <c r="B186">
        <v>61.97</v>
      </c>
      <c r="C186">
        <f t="shared" si="24"/>
        <v>2.9088579011278893E-3</v>
      </c>
      <c r="D186">
        <f t="shared" si="25"/>
        <v>62.532846545561284</v>
      </c>
      <c r="E186">
        <f t="shared" si="26"/>
        <v>63.9142989623478</v>
      </c>
      <c r="F186">
        <f t="shared" si="21"/>
        <v>-1.3814524167865159</v>
      </c>
      <c r="G186">
        <f t="shared" si="23"/>
        <v>-1.3945248592847566</v>
      </c>
      <c r="H186">
        <f t="shared" si="22"/>
        <v>1.3072442498240688E-2</v>
      </c>
    </row>
    <row r="187" spans="1:8" x14ac:dyDescent="0.35">
      <c r="A187" t="s">
        <v>187</v>
      </c>
      <c r="B187">
        <v>61.79</v>
      </c>
      <c r="C187">
        <f t="shared" si="24"/>
        <v>-2.1016902085835704E-3</v>
      </c>
      <c r="D187">
        <f t="shared" si="25"/>
        <v>62.418562461628781</v>
      </c>
      <c r="E187">
        <f t="shared" si="26"/>
        <v>63.75694348365537</v>
      </c>
      <c r="F187">
        <f t="shared" si="21"/>
        <v>-1.3383810220265886</v>
      </c>
      <c r="G187">
        <f t="shared" si="23"/>
        <v>-1.383296091833123</v>
      </c>
      <c r="H187">
        <f t="shared" si="22"/>
        <v>4.4915069806534369E-2</v>
      </c>
    </row>
    <row r="188" spans="1:8" x14ac:dyDescent="0.35">
      <c r="A188" t="s">
        <v>188</v>
      </c>
      <c r="B188">
        <v>61.92</v>
      </c>
      <c r="D188">
        <f t="shared" si="25"/>
        <v>62.341860544455123</v>
      </c>
      <c r="E188">
        <f t="shared" si="26"/>
        <v>63.620873595977194</v>
      </c>
      <c r="F188">
        <f t="shared" si="21"/>
        <v>-1.279013051522071</v>
      </c>
      <c r="G188">
        <f t="shared" si="23"/>
        <v>-1.3624394837709126</v>
      </c>
      <c r="H188">
        <f t="shared" si="22"/>
        <v>8.3426432248841609E-2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5A1C2-18C4-4E4B-AE6C-6540459D6422}">
  <sheetPr codeName="Sheet3"/>
  <dimension ref="A1:L188"/>
  <sheetViews>
    <sheetView topLeftCell="J4" workbookViewId="0">
      <selection activeCell="P2" sqref="P2"/>
    </sheetView>
  </sheetViews>
  <sheetFormatPr defaultRowHeight="14.5" x14ac:dyDescent="0.35"/>
  <cols>
    <col min="1" max="1" width="14.453125" customWidth="1"/>
    <col min="2" max="2" width="16.6328125" customWidth="1"/>
    <col min="3" max="3" width="21.453125" customWidth="1"/>
    <col min="4" max="4" width="17.08984375" customWidth="1"/>
    <col min="5" max="5" width="13.54296875" customWidth="1"/>
    <col min="6" max="6" width="11" customWidth="1"/>
    <col min="7" max="7" width="13.08984375" customWidth="1"/>
    <col min="8" max="8" width="13" customWidth="1"/>
    <col min="9" max="9" width="15.90625" customWidth="1"/>
    <col min="11" max="11" width="11.6328125" customWidth="1"/>
    <col min="12" max="12" width="13.453125" customWidth="1"/>
  </cols>
  <sheetData>
    <row r="1" spans="1:12" x14ac:dyDescent="0.35">
      <c r="A1" t="s">
        <v>0</v>
      </c>
      <c r="B1" t="s">
        <v>214</v>
      </c>
      <c r="C1" t="s">
        <v>194</v>
      </c>
      <c r="D1" t="s">
        <v>207</v>
      </c>
      <c r="E1" t="s">
        <v>208</v>
      </c>
      <c r="F1" t="s">
        <v>209</v>
      </c>
      <c r="G1" t="s">
        <v>210</v>
      </c>
      <c r="H1" t="s">
        <v>211</v>
      </c>
      <c r="I1" t="s">
        <v>212</v>
      </c>
      <c r="J1" t="s">
        <v>213</v>
      </c>
      <c r="K1" t="s">
        <v>223</v>
      </c>
      <c r="L1" t="s">
        <v>224</v>
      </c>
    </row>
    <row r="2" spans="1:12" x14ac:dyDescent="0.35">
      <c r="A2" t="s">
        <v>2</v>
      </c>
      <c r="B2">
        <v>70.37</v>
      </c>
      <c r="C2">
        <f t="shared" ref="C2:C33" si="0">LN(B2/B3)</f>
        <v>-5.2441477988769145E-3</v>
      </c>
      <c r="D2">
        <f t="shared" ref="D2:D33" si="1" xml:space="preserve"> B2 - B3</f>
        <v>-0.36999999999999034</v>
      </c>
      <c r="E2">
        <f xml:space="preserve"> IF(D2 &gt; 0, D2, 0)</f>
        <v>0</v>
      </c>
      <c r="F2">
        <f xml:space="preserve"> IF(D2 &lt; 0, ABS(D2), 0)</f>
        <v>0.36999999999999034</v>
      </c>
      <c r="G2">
        <f xml:space="preserve"> AVERAGE(E2:E15)</f>
        <v>0.26071428571428512</v>
      </c>
      <c r="H2">
        <f xml:space="preserve"> AVERAGE(F2:F15)</f>
        <v>0.30071428571428527</v>
      </c>
      <c r="I2">
        <f>G2/H2</f>
        <v>0.86698337292161454</v>
      </c>
      <c r="J2">
        <f xml:space="preserve"> 100 - (100 / (1 + I2))</f>
        <v>46.437659033078859</v>
      </c>
      <c r="K2">
        <v>70</v>
      </c>
      <c r="L2">
        <v>30</v>
      </c>
    </row>
    <row r="3" spans="1:12" x14ac:dyDescent="0.35">
      <c r="A3" t="s">
        <v>3</v>
      </c>
      <c r="B3">
        <v>70.739999999999995</v>
      </c>
      <c r="C3">
        <f t="shared" si="0"/>
        <v>1.0230268250814823E-2</v>
      </c>
      <c r="D3">
        <f t="shared" si="1"/>
        <v>0.71999999999999886</v>
      </c>
      <c r="E3">
        <f t="shared" ref="E3:E66" si="2" xml:space="preserve"> IF(D3 &gt; 0, D3, 0)</f>
        <v>0.71999999999999886</v>
      </c>
      <c r="F3">
        <f t="shared" ref="F3:F66" si="3" xml:space="preserve"> IF(D3 &lt; 0, ABS(D3), 0)</f>
        <v>0</v>
      </c>
      <c r="G3">
        <f t="shared" ref="G3:G66" si="4" xml:space="preserve"> AVERAGE(E3:E16)</f>
        <v>0.26214285714285729</v>
      </c>
      <c r="H3">
        <f t="shared" ref="H3:H66" si="5" xml:space="preserve"> AVERAGE(F3:F16)</f>
        <v>0.27428571428571452</v>
      </c>
      <c r="I3">
        <f t="shared" ref="I3:I66" si="6">G3/H3</f>
        <v>0.95572916666666641</v>
      </c>
      <c r="J3">
        <f t="shared" ref="J3:J66" si="7" xml:space="preserve"> 100 - (100 / (1 + I3))</f>
        <v>48.868175765645802</v>
      </c>
      <c r="K3">
        <v>70</v>
      </c>
      <c r="L3">
        <v>30</v>
      </c>
    </row>
    <row r="4" spans="1:12" x14ac:dyDescent="0.35">
      <c r="A4" t="s">
        <v>4</v>
      </c>
      <c r="B4">
        <v>70.02</v>
      </c>
      <c r="C4">
        <f t="shared" si="0"/>
        <v>1.74318323121311E-2</v>
      </c>
      <c r="D4">
        <f t="shared" si="1"/>
        <v>1.2099999999999937</v>
      </c>
      <c r="E4">
        <f t="shared" si="2"/>
        <v>1.2099999999999937</v>
      </c>
      <c r="F4">
        <f t="shared" si="3"/>
        <v>0</v>
      </c>
      <c r="G4">
        <f t="shared" si="4"/>
        <v>0.28000000000000014</v>
      </c>
      <c r="H4">
        <f t="shared" si="5"/>
        <v>0.27428571428571452</v>
      </c>
      <c r="I4">
        <f t="shared" si="6"/>
        <v>1.020833333333333</v>
      </c>
      <c r="J4">
        <f t="shared" si="7"/>
        <v>50.515463917525764</v>
      </c>
      <c r="K4">
        <v>70</v>
      </c>
      <c r="L4">
        <v>30</v>
      </c>
    </row>
    <row r="5" spans="1:12" x14ac:dyDescent="0.35">
      <c r="A5" t="s">
        <v>5</v>
      </c>
      <c r="B5">
        <v>68.81</v>
      </c>
      <c r="C5">
        <f t="shared" si="0"/>
        <v>-2.0325210249223578E-3</v>
      </c>
      <c r="D5">
        <f t="shared" si="1"/>
        <v>-0.14000000000000057</v>
      </c>
      <c r="E5">
        <f t="shared" si="2"/>
        <v>0</v>
      </c>
      <c r="F5">
        <f t="shared" si="3"/>
        <v>0.14000000000000057</v>
      </c>
      <c r="G5">
        <f t="shared" si="4"/>
        <v>0.22000000000000089</v>
      </c>
      <c r="H5">
        <f t="shared" si="5"/>
        <v>0.27428571428571452</v>
      </c>
      <c r="I5">
        <f t="shared" si="6"/>
        <v>0.80208333333333592</v>
      </c>
      <c r="J5">
        <f t="shared" si="7"/>
        <v>44.508670520231291</v>
      </c>
      <c r="K5">
        <v>70</v>
      </c>
      <c r="L5">
        <v>30</v>
      </c>
    </row>
    <row r="6" spans="1:12" x14ac:dyDescent="0.35">
      <c r="A6" t="s">
        <v>6</v>
      </c>
      <c r="B6">
        <v>68.95</v>
      </c>
      <c r="C6">
        <f t="shared" si="0"/>
        <v>4.0691816067257493E-3</v>
      </c>
      <c r="D6">
        <f t="shared" si="1"/>
        <v>0.28000000000000114</v>
      </c>
      <c r="E6">
        <f t="shared" si="2"/>
        <v>0.28000000000000114</v>
      </c>
      <c r="F6">
        <f t="shared" si="3"/>
        <v>0</v>
      </c>
      <c r="G6">
        <f t="shared" si="4"/>
        <v>0.22000000000000089</v>
      </c>
      <c r="H6">
        <f t="shared" si="5"/>
        <v>0.2721428571428583</v>
      </c>
      <c r="I6">
        <f t="shared" si="6"/>
        <v>0.80839895013123342</v>
      </c>
      <c r="J6">
        <f t="shared" si="7"/>
        <v>44.702467343976771</v>
      </c>
      <c r="K6">
        <v>70</v>
      </c>
      <c r="L6">
        <v>30</v>
      </c>
    </row>
    <row r="7" spans="1:12" x14ac:dyDescent="0.35">
      <c r="A7" t="s">
        <v>7</v>
      </c>
      <c r="B7">
        <v>68.67</v>
      </c>
      <c r="C7">
        <f t="shared" si="0"/>
        <v>-1.5031356865722214E-2</v>
      </c>
      <c r="D7">
        <f t="shared" si="1"/>
        <v>-1.039999999999992</v>
      </c>
      <c r="E7">
        <f t="shared" si="2"/>
        <v>0</v>
      </c>
      <c r="F7">
        <f t="shared" si="3"/>
        <v>1.039999999999992</v>
      </c>
      <c r="G7">
        <f t="shared" si="4"/>
        <v>0.20000000000000082</v>
      </c>
      <c r="H7">
        <f t="shared" si="5"/>
        <v>0.42285714285714399</v>
      </c>
      <c r="I7">
        <f t="shared" si="6"/>
        <v>0.47297297297297364</v>
      </c>
      <c r="J7">
        <f t="shared" si="7"/>
        <v>32.110091743119298</v>
      </c>
      <c r="K7">
        <v>70</v>
      </c>
      <c r="L7">
        <v>30</v>
      </c>
    </row>
    <row r="8" spans="1:12" x14ac:dyDescent="0.35">
      <c r="A8" t="s">
        <v>8</v>
      </c>
      <c r="B8">
        <v>69.709999999999994</v>
      </c>
      <c r="C8">
        <f t="shared" si="0"/>
        <v>6.1875152441275838E-3</v>
      </c>
      <c r="D8">
        <f t="shared" si="1"/>
        <v>0.42999999999999261</v>
      </c>
      <c r="E8">
        <f t="shared" si="2"/>
        <v>0.42999999999999261</v>
      </c>
      <c r="F8">
        <f t="shared" si="3"/>
        <v>0</v>
      </c>
      <c r="G8">
        <f t="shared" si="4"/>
        <v>0.27857142857142997</v>
      </c>
      <c r="H8">
        <f t="shared" si="5"/>
        <v>0.34857142857143025</v>
      </c>
      <c r="I8">
        <f t="shared" si="6"/>
        <v>0.79918032786885262</v>
      </c>
      <c r="J8">
        <f t="shared" si="7"/>
        <v>44.419134396355361</v>
      </c>
      <c r="K8">
        <v>70</v>
      </c>
      <c r="L8">
        <v>30</v>
      </c>
    </row>
    <row r="9" spans="1:12" x14ac:dyDescent="0.35">
      <c r="A9" t="s">
        <v>9</v>
      </c>
      <c r="B9">
        <v>69.28</v>
      </c>
      <c r="C9">
        <f t="shared" si="0"/>
        <v>-1.4423772874238385E-3</v>
      </c>
      <c r="D9">
        <f t="shared" si="1"/>
        <v>-9.9999999999994316E-2</v>
      </c>
      <c r="E9">
        <f t="shared" si="2"/>
        <v>0</v>
      </c>
      <c r="F9">
        <f t="shared" si="3"/>
        <v>9.9999999999994316E-2</v>
      </c>
      <c r="G9">
        <f t="shared" si="4"/>
        <v>0.27214285714285935</v>
      </c>
      <c r="H9">
        <f t="shared" si="5"/>
        <v>0.34857142857143025</v>
      </c>
      <c r="I9">
        <f t="shared" si="6"/>
        <v>0.7807377049180354</v>
      </c>
      <c r="J9">
        <f t="shared" si="7"/>
        <v>43.843498273878097</v>
      </c>
      <c r="K9">
        <v>70</v>
      </c>
      <c r="L9">
        <v>30</v>
      </c>
    </row>
    <row r="10" spans="1:12" x14ac:dyDescent="0.35">
      <c r="A10" t="s">
        <v>10</v>
      </c>
      <c r="B10">
        <v>69.38</v>
      </c>
      <c r="C10">
        <f t="shared" si="0"/>
        <v>-1.0609418511430276E-2</v>
      </c>
      <c r="D10">
        <f t="shared" si="1"/>
        <v>-0.74000000000000909</v>
      </c>
      <c r="E10">
        <f t="shared" si="2"/>
        <v>0</v>
      </c>
      <c r="F10">
        <f t="shared" si="3"/>
        <v>0.74000000000000909</v>
      </c>
      <c r="G10">
        <f t="shared" si="4"/>
        <v>0.27714285714285886</v>
      </c>
      <c r="H10">
        <f t="shared" si="5"/>
        <v>0.34142857142857352</v>
      </c>
      <c r="I10">
        <f t="shared" si="6"/>
        <v>0.81171548117154813</v>
      </c>
      <c r="J10">
        <f t="shared" si="7"/>
        <v>44.803695150115473</v>
      </c>
      <c r="K10">
        <v>70</v>
      </c>
      <c r="L10">
        <v>30</v>
      </c>
    </row>
    <row r="11" spans="1:12" x14ac:dyDescent="0.35">
      <c r="A11" t="s">
        <v>11</v>
      </c>
      <c r="B11">
        <v>70.12</v>
      </c>
      <c r="C11">
        <f t="shared" si="0"/>
        <v>1.3785399237944064E-2</v>
      </c>
      <c r="D11">
        <f t="shared" si="1"/>
        <v>0.96000000000000796</v>
      </c>
      <c r="E11">
        <f t="shared" si="2"/>
        <v>0.96000000000000796</v>
      </c>
      <c r="F11">
        <f t="shared" si="3"/>
        <v>0</v>
      </c>
      <c r="G11">
        <f t="shared" si="4"/>
        <v>0.27714285714285886</v>
      </c>
      <c r="H11">
        <f t="shared" si="5"/>
        <v>0.33785714285714413</v>
      </c>
      <c r="I11">
        <f t="shared" si="6"/>
        <v>0.82029598308668272</v>
      </c>
      <c r="J11">
        <f t="shared" si="7"/>
        <v>45.063879210220733</v>
      </c>
      <c r="K11">
        <v>70</v>
      </c>
      <c r="L11">
        <v>30</v>
      </c>
    </row>
    <row r="12" spans="1:12" x14ac:dyDescent="0.35">
      <c r="A12" t="s">
        <v>12</v>
      </c>
      <c r="B12">
        <v>69.16</v>
      </c>
      <c r="C12">
        <f t="shared" si="0"/>
        <v>7.2322271178681431E-4</v>
      </c>
      <c r="D12">
        <f t="shared" si="1"/>
        <v>4.9999999999997158E-2</v>
      </c>
      <c r="E12">
        <f t="shared" si="2"/>
        <v>4.9999999999997158E-2</v>
      </c>
      <c r="F12">
        <f t="shared" si="3"/>
        <v>0</v>
      </c>
      <c r="G12">
        <f t="shared" si="4"/>
        <v>0.27285714285714441</v>
      </c>
      <c r="H12">
        <f t="shared" si="5"/>
        <v>0.33785714285714413</v>
      </c>
      <c r="I12">
        <f t="shared" si="6"/>
        <v>0.80761099365750688</v>
      </c>
      <c r="J12">
        <f t="shared" si="7"/>
        <v>44.678362573099463</v>
      </c>
      <c r="K12">
        <v>70</v>
      </c>
      <c r="L12">
        <v>30</v>
      </c>
    </row>
    <row r="13" spans="1:12" x14ac:dyDescent="0.35">
      <c r="A13" t="s">
        <v>13</v>
      </c>
      <c r="B13">
        <v>69.11</v>
      </c>
      <c r="C13">
        <f t="shared" si="0"/>
        <v>-4.6196126618791101E-3</v>
      </c>
      <c r="D13">
        <f t="shared" si="1"/>
        <v>-0.32000000000000739</v>
      </c>
      <c r="E13">
        <f t="shared" si="2"/>
        <v>0</v>
      </c>
      <c r="F13">
        <f t="shared" si="3"/>
        <v>0.32000000000000739</v>
      </c>
      <c r="G13">
        <f t="shared" si="4"/>
        <v>0.26928571428571602</v>
      </c>
      <c r="H13">
        <f t="shared" si="5"/>
        <v>0.39214285714285879</v>
      </c>
      <c r="I13">
        <f t="shared" si="6"/>
        <v>0.68670309653916362</v>
      </c>
      <c r="J13">
        <f t="shared" si="7"/>
        <v>40.712742980561607</v>
      </c>
      <c r="K13">
        <v>70</v>
      </c>
      <c r="L13">
        <v>30</v>
      </c>
    </row>
    <row r="14" spans="1:12" x14ac:dyDescent="0.35">
      <c r="A14" t="s">
        <v>14</v>
      </c>
      <c r="B14">
        <v>69.430000000000007</v>
      </c>
      <c r="C14">
        <f t="shared" si="0"/>
        <v>-1.5577306764487309E-2</v>
      </c>
      <c r="D14">
        <f t="shared" si="1"/>
        <v>-1.0899999999999892</v>
      </c>
      <c r="E14">
        <f t="shared" si="2"/>
        <v>0</v>
      </c>
      <c r="F14">
        <f t="shared" si="3"/>
        <v>1.0899999999999892</v>
      </c>
      <c r="G14">
        <f t="shared" si="4"/>
        <v>0.36214285714285871</v>
      </c>
      <c r="H14">
        <f t="shared" si="5"/>
        <v>0.36928571428571544</v>
      </c>
      <c r="I14">
        <f t="shared" si="6"/>
        <v>0.98065764023210955</v>
      </c>
      <c r="J14">
        <f t="shared" si="7"/>
        <v>49.511718750000028</v>
      </c>
      <c r="K14">
        <v>70</v>
      </c>
      <c r="L14">
        <v>30</v>
      </c>
    </row>
    <row r="15" spans="1:12" x14ac:dyDescent="0.35">
      <c r="A15" t="s">
        <v>15</v>
      </c>
      <c r="B15">
        <v>70.52</v>
      </c>
      <c r="C15">
        <f t="shared" si="0"/>
        <v>-5.797117684326069E-3</v>
      </c>
      <c r="D15">
        <f t="shared" si="1"/>
        <v>-0.4100000000000108</v>
      </c>
      <c r="E15">
        <f t="shared" si="2"/>
        <v>0</v>
      </c>
      <c r="F15">
        <f t="shared" si="3"/>
        <v>0.4100000000000108</v>
      </c>
      <c r="G15">
        <f t="shared" si="4"/>
        <v>0.36214285714285871</v>
      </c>
      <c r="H15">
        <f t="shared" si="5"/>
        <v>0.29357142857143054</v>
      </c>
      <c r="I15">
        <f t="shared" si="6"/>
        <v>1.2335766423357635</v>
      </c>
      <c r="J15">
        <f t="shared" si="7"/>
        <v>55.228758169934579</v>
      </c>
      <c r="K15">
        <v>70</v>
      </c>
      <c r="L15">
        <v>30</v>
      </c>
    </row>
    <row r="16" spans="1:12" x14ac:dyDescent="0.35">
      <c r="A16" t="s">
        <v>16</v>
      </c>
      <c r="B16">
        <v>70.930000000000007</v>
      </c>
      <c r="C16">
        <f t="shared" si="0"/>
        <v>2.8200789809016433E-4</v>
      </c>
      <c r="D16">
        <f t="shared" si="1"/>
        <v>2.0000000000010232E-2</v>
      </c>
      <c r="E16">
        <f t="shared" si="2"/>
        <v>2.0000000000010232E-2</v>
      </c>
      <c r="F16">
        <f t="shared" si="3"/>
        <v>0</v>
      </c>
      <c r="G16">
        <f t="shared" si="4"/>
        <v>0.43500000000000127</v>
      </c>
      <c r="H16">
        <f t="shared" si="5"/>
        <v>0.26428571428571551</v>
      </c>
      <c r="I16">
        <f t="shared" si="6"/>
        <v>1.6459459459459431</v>
      </c>
      <c r="J16">
        <f t="shared" si="7"/>
        <v>62.206332992849809</v>
      </c>
      <c r="K16">
        <v>70</v>
      </c>
      <c r="L16">
        <v>30</v>
      </c>
    </row>
    <row r="17" spans="1:12" x14ac:dyDescent="0.35">
      <c r="A17" t="s">
        <v>17</v>
      </c>
      <c r="B17">
        <v>70.91</v>
      </c>
      <c r="C17">
        <f t="shared" si="0"/>
        <v>1.3773735680675607E-2</v>
      </c>
      <c r="D17">
        <f t="shared" si="1"/>
        <v>0.96999999999999886</v>
      </c>
      <c r="E17">
        <f t="shared" si="2"/>
        <v>0.96999999999999886</v>
      </c>
      <c r="F17">
        <f t="shared" si="3"/>
        <v>0</v>
      </c>
      <c r="G17">
        <f t="shared" si="4"/>
        <v>0.44571428571428634</v>
      </c>
      <c r="H17">
        <f t="shared" si="5"/>
        <v>0.26428571428571551</v>
      </c>
      <c r="I17">
        <f t="shared" si="6"/>
        <v>1.686486486486481</v>
      </c>
      <c r="J17">
        <f t="shared" si="7"/>
        <v>62.776659959758476</v>
      </c>
      <c r="K17">
        <v>70</v>
      </c>
      <c r="L17">
        <v>30</v>
      </c>
    </row>
    <row r="18" spans="1:12" x14ac:dyDescent="0.35">
      <c r="A18" t="s">
        <v>18</v>
      </c>
      <c r="B18">
        <v>69.94</v>
      </c>
      <c r="C18">
        <f t="shared" si="0"/>
        <v>5.3042916996799763E-3</v>
      </c>
      <c r="D18">
        <f t="shared" si="1"/>
        <v>0.37000000000000455</v>
      </c>
      <c r="E18">
        <f t="shared" si="2"/>
        <v>0.37000000000000455</v>
      </c>
      <c r="F18">
        <f t="shared" si="3"/>
        <v>0</v>
      </c>
      <c r="G18">
        <f t="shared" si="4"/>
        <v>0.37642857142857217</v>
      </c>
      <c r="H18">
        <f t="shared" si="5"/>
        <v>0.30857142857142911</v>
      </c>
      <c r="I18">
        <f t="shared" si="6"/>
        <v>1.2199074074074077</v>
      </c>
      <c r="J18">
        <f t="shared" si="7"/>
        <v>54.953076120959331</v>
      </c>
      <c r="K18">
        <v>70</v>
      </c>
      <c r="L18">
        <v>30</v>
      </c>
    </row>
    <row r="19" spans="1:12" x14ac:dyDescent="0.35">
      <c r="A19" t="s">
        <v>19</v>
      </c>
      <c r="B19">
        <v>69.569999999999993</v>
      </c>
      <c r="C19">
        <f t="shared" si="0"/>
        <v>-1.579892608697613E-3</v>
      </c>
      <c r="D19">
        <f t="shared" si="1"/>
        <v>-0.11000000000001364</v>
      </c>
      <c r="E19">
        <f t="shared" si="2"/>
        <v>0</v>
      </c>
      <c r="F19">
        <f t="shared" si="3"/>
        <v>0.11000000000001364</v>
      </c>
      <c r="G19">
        <f t="shared" si="4"/>
        <v>0.40571428571428619</v>
      </c>
      <c r="H19">
        <f t="shared" si="5"/>
        <v>0.30857142857142911</v>
      </c>
      <c r="I19">
        <f t="shared" si="6"/>
        <v>1.314814814814814</v>
      </c>
      <c r="J19">
        <f t="shared" si="7"/>
        <v>56.799999999999983</v>
      </c>
      <c r="K19">
        <v>70</v>
      </c>
      <c r="L19">
        <v>30</v>
      </c>
    </row>
    <row r="20" spans="1:12" x14ac:dyDescent="0.35">
      <c r="A20" t="s">
        <v>20</v>
      </c>
      <c r="B20">
        <v>69.680000000000007</v>
      </c>
      <c r="C20">
        <f t="shared" si="0"/>
        <v>-2.9831858044144288E-2</v>
      </c>
      <c r="D20">
        <f t="shared" si="1"/>
        <v>-2.1099999999999994</v>
      </c>
      <c r="E20">
        <f t="shared" si="2"/>
        <v>0</v>
      </c>
      <c r="F20">
        <f t="shared" si="3"/>
        <v>2.1099999999999994</v>
      </c>
      <c r="G20">
        <f t="shared" si="4"/>
        <v>0.48500000000000043</v>
      </c>
      <c r="H20">
        <f t="shared" si="5"/>
        <v>0.30071428571428527</v>
      </c>
      <c r="I20">
        <f t="shared" si="6"/>
        <v>1.6128266033254195</v>
      </c>
      <c r="J20">
        <f t="shared" si="7"/>
        <v>61.727272727272783</v>
      </c>
      <c r="K20">
        <v>70</v>
      </c>
      <c r="L20">
        <v>30</v>
      </c>
    </row>
    <row r="21" spans="1:12" x14ac:dyDescent="0.35">
      <c r="A21" t="s">
        <v>21</v>
      </c>
      <c r="B21">
        <v>71.790000000000006</v>
      </c>
      <c r="C21">
        <f t="shared" si="0"/>
        <v>1.5441070405529084E-2</v>
      </c>
      <c r="D21">
        <f t="shared" si="1"/>
        <v>1.1000000000000085</v>
      </c>
      <c r="E21">
        <f t="shared" si="2"/>
        <v>1.1000000000000085</v>
      </c>
      <c r="F21">
        <f t="shared" si="3"/>
        <v>0</v>
      </c>
      <c r="G21">
        <f t="shared" si="4"/>
        <v>0.70071428571428584</v>
      </c>
      <c r="H21">
        <f t="shared" si="5"/>
        <v>0.14999999999999961</v>
      </c>
      <c r="I21">
        <f t="shared" si="6"/>
        <v>4.6714285714285841</v>
      </c>
      <c r="J21">
        <f t="shared" si="7"/>
        <v>82.367758186398021</v>
      </c>
      <c r="K21">
        <v>70</v>
      </c>
      <c r="L21">
        <v>30</v>
      </c>
    </row>
    <row r="22" spans="1:12" x14ac:dyDescent="0.35">
      <c r="A22" t="s">
        <v>22</v>
      </c>
      <c r="B22">
        <v>70.69</v>
      </c>
      <c r="C22">
        <f t="shared" si="0"/>
        <v>4.8213366224647107E-3</v>
      </c>
      <c r="D22">
        <f t="shared" si="1"/>
        <v>0.34000000000000341</v>
      </c>
      <c r="E22">
        <f t="shared" si="2"/>
        <v>0.34000000000000341</v>
      </c>
      <c r="F22">
        <f t="shared" si="3"/>
        <v>0</v>
      </c>
      <c r="G22">
        <f t="shared" si="4"/>
        <v>0.67285714285714249</v>
      </c>
      <c r="H22">
        <f t="shared" si="5"/>
        <v>0.14999999999999961</v>
      </c>
      <c r="I22">
        <f t="shared" si="6"/>
        <v>4.4857142857142946</v>
      </c>
      <c r="J22">
        <f t="shared" si="7"/>
        <v>81.770833333333371</v>
      </c>
      <c r="K22">
        <v>70</v>
      </c>
      <c r="L22">
        <v>30</v>
      </c>
    </row>
    <row r="23" spans="1:12" x14ac:dyDescent="0.35">
      <c r="A23" t="s">
        <v>23</v>
      </c>
      <c r="B23">
        <v>70.349999999999994</v>
      </c>
      <c r="C23">
        <f t="shared" si="0"/>
        <v>9.9552024150161966E-4</v>
      </c>
      <c r="D23">
        <f t="shared" si="1"/>
        <v>6.9999999999993179E-2</v>
      </c>
      <c r="E23">
        <f t="shared" si="2"/>
        <v>6.9999999999993179E-2</v>
      </c>
      <c r="F23">
        <f t="shared" si="3"/>
        <v>0</v>
      </c>
      <c r="G23">
        <f t="shared" si="4"/>
        <v>0.68214285714285638</v>
      </c>
      <c r="H23">
        <f t="shared" si="5"/>
        <v>0.14999999999999961</v>
      </c>
      <c r="I23">
        <f t="shared" si="6"/>
        <v>4.5476190476190546</v>
      </c>
      <c r="J23">
        <f t="shared" si="7"/>
        <v>81.974248927038644</v>
      </c>
      <c r="K23">
        <v>70</v>
      </c>
      <c r="L23">
        <v>30</v>
      </c>
    </row>
    <row r="24" spans="1:12" x14ac:dyDescent="0.35">
      <c r="A24" t="s">
        <v>24</v>
      </c>
      <c r="B24">
        <v>70.28</v>
      </c>
      <c r="C24">
        <f t="shared" si="0"/>
        <v>-9.7699892179950714E-3</v>
      </c>
      <c r="D24">
        <f t="shared" si="1"/>
        <v>-0.68999999999999773</v>
      </c>
      <c r="E24">
        <f t="shared" si="2"/>
        <v>0</v>
      </c>
      <c r="F24">
        <f t="shared" si="3"/>
        <v>0.68999999999999773</v>
      </c>
      <c r="G24">
        <f t="shared" si="4"/>
        <v>0.69428571428571417</v>
      </c>
      <c r="H24">
        <f t="shared" si="5"/>
        <v>0.14999999999999961</v>
      </c>
      <c r="I24">
        <f t="shared" si="6"/>
        <v>4.6285714285714397</v>
      </c>
      <c r="J24">
        <f t="shared" si="7"/>
        <v>82.233502538071093</v>
      </c>
      <c r="K24">
        <v>70</v>
      </c>
      <c r="L24">
        <v>30</v>
      </c>
    </row>
    <row r="25" spans="1:12" x14ac:dyDescent="0.35">
      <c r="A25" t="s">
        <v>25</v>
      </c>
      <c r="B25">
        <v>70.97</v>
      </c>
      <c r="C25">
        <f t="shared" si="0"/>
        <v>1.2762510154449128E-2</v>
      </c>
      <c r="D25">
        <f t="shared" si="1"/>
        <v>0.90000000000000568</v>
      </c>
      <c r="E25">
        <f t="shared" si="2"/>
        <v>0.90000000000000568</v>
      </c>
      <c r="F25">
        <f t="shared" si="3"/>
        <v>0</v>
      </c>
      <c r="G25">
        <f t="shared" si="4"/>
        <v>0.72642857142857109</v>
      </c>
      <c r="H25">
        <f t="shared" si="5"/>
        <v>0.10071428571428546</v>
      </c>
      <c r="I25">
        <f t="shared" si="6"/>
        <v>7.2127659574468233</v>
      </c>
      <c r="J25">
        <f t="shared" si="7"/>
        <v>87.823834196891212</v>
      </c>
      <c r="K25">
        <v>70</v>
      </c>
      <c r="L25">
        <v>30</v>
      </c>
    </row>
    <row r="26" spans="1:12" x14ac:dyDescent="0.35">
      <c r="A26" t="s">
        <v>26</v>
      </c>
      <c r="B26">
        <v>70.069999999999993</v>
      </c>
      <c r="C26">
        <f t="shared" si="0"/>
        <v>-1.0787897383088826E-2</v>
      </c>
      <c r="D26">
        <f t="shared" si="1"/>
        <v>-0.76000000000000512</v>
      </c>
      <c r="E26">
        <f t="shared" si="2"/>
        <v>0</v>
      </c>
      <c r="F26">
        <f t="shared" si="3"/>
        <v>0.76000000000000512</v>
      </c>
      <c r="G26">
        <f t="shared" si="4"/>
        <v>0.66214285714285637</v>
      </c>
      <c r="H26">
        <f t="shared" si="5"/>
        <v>0.14928571428571402</v>
      </c>
      <c r="I26">
        <f t="shared" si="6"/>
        <v>4.4354066985645959</v>
      </c>
      <c r="J26">
        <f t="shared" si="7"/>
        <v>81.60211267605635</v>
      </c>
      <c r="K26">
        <v>70</v>
      </c>
      <c r="L26">
        <v>30</v>
      </c>
    </row>
    <row r="27" spans="1:12" x14ac:dyDescent="0.35">
      <c r="A27" t="s">
        <v>27</v>
      </c>
      <c r="B27">
        <v>70.83</v>
      </c>
      <c r="C27">
        <f t="shared" si="0"/>
        <v>1.8524325654604643E-2</v>
      </c>
      <c r="D27">
        <f t="shared" si="1"/>
        <v>1.2999999999999972</v>
      </c>
      <c r="E27">
        <f t="shared" si="2"/>
        <v>1.2999999999999972</v>
      </c>
      <c r="F27">
        <f t="shared" si="3"/>
        <v>0</v>
      </c>
      <c r="G27">
        <f t="shared" si="4"/>
        <v>0.66214285714285637</v>
      </c>
      <c r="H27">
        <f t="shared" si="5"/>
        <v>0.10357142857142776</v>
      </c>
      <c r="I27">
        <f t="shared" si="6"/>
        <v>6.3931034482759044</v>
      </c>
      <c r="J27">
        <f t="shared" si="7"/>
        <v>86.473880597014997</v>
      </c>
      <c r="K27">
        <v>70</v>
      </c>
      <c r="L27">
        <v>30</v>
      </c>
    </row>
    <row r="28" spans="1:12" x14ac:dyDescent="0.35">
      <c r="A28" t="s">
        <v>28</v>
      </c>
      <c r="B28">
        <v>69.53</v>
      </c>
      <c r="C28">
        <f t="shared" si="0"/>
        <v>-4.3137537515581495E-4</v>
      </c>
      <c r="D28">
        <f t="shared" si="1"/>
        <v>-3.0000000000001137E-2</v>
      </c>
      <c r="E28">
        <f t="shared" si="2"/>
        <v>0</v>
      </c>
      <c r="F28">
        <f t="shared" si="3"/>
        <v>3.0000000000001137E-2</v>
      </c>
      <c r="G28">
        <f t="shared" si="4"/>
        <v>0.56928571428571373</v>
      </c>
      <c r="H28">
        <f t="shared" si="5"/>
        <v>0.14428571428571349</v>
      </c>
      <c r="I28">
        <f t="shared" si="6"/>
        <v>3.9455445544554633</v>
      </c>
      <c r="J28">
        <f t="shared" si="7"/>
        <v>79.779779779779858</v>
      </c>
      <c r="K28">
        <v>70</v>
      </c>
      <c r="L28">
        <v>30</v>
      </c>
    </row>
    <row r="29" spans="1:12" x14ac:dyDescent="0.35">
      <c r="A29" t="s">
        <v>29</v>
      </c>
      <c r="B29">
        <v>69.56</v>
      </c>
      <c r="C29">
        <f t="shared" si="0"/>
        <v>1.4772173039619483E-2</v>
      </c>
      <c r="D29">
        <f t="shared" si="1"/>
        <v>1.019999999999996</v>
      </c>
      <c r="E29">
        <f t="shared" si="2"/>
        <v>1.019999999999996</v>
      </c>
      <c r="F29">
        <f t="shared" si="3"/>
        <v>0</v>
      </c>
      <c r="G29">
        <f t="shared" si="4"/>
        <v>0.65571428571428514</v>
      </c>
      <c r="H29">
        <f t="shared" si="5"/>
        <v>0.14214285714285627</v>
      </c>
      <c r="I29">
        <f t="shared" si="6"/>
        <v>4.6130653266331905</v>
      </c>
      <c r="J29">
        <f t="shared" si="7"/>
        <v>82.184422560429795</v>
      </c>
      <c r="K29">
        <v>70</v>
      </c>
      <c r="L29">
        <v>30</v>
      </c>
    </row>
    <row r="30" spans="1:12" x14ac:dyDescent="0.35">
      <c r="A30" t="s">
        <v>30</v>
      </c>
      <c r="B30">
        <v>68.540000000000006</v>
      </c>
      <c r="C30">
        <f t="shared" si="0"/>
        <v>2.4833845207602842E-3</v>
      </c>
      <c r="D30">
        <f t="shared" si="1"/>
        <v>0.17000000000000171</v>
      </c>
      <c r="E30">
        <f t="shared" si="2"/>
        <v>0.17000000000000171</v>
      </c>
      <c r="F30">
        <f t="shared" si="3"/>
        <v>0</v>
      </c>
      <c r="G30">
        <f t="shared" si="4"/>
        <v>0.6164285714285711</v>
      </c>
      <c r="H30">
        <f t="shared" si="5"/>
        <v>0.14214285714285627</v>
      </c>
      <c r="I30">
        <f t="shared" si="6"/>
        <v>4.3366834170854514</v>
      </c>
      <c r="J30">
        <f t="shared" si="7"/>
        <v>81.261770244821179</v>
      </c>
      <c r="K30">
        <v>70</v>
      </c>
      <c r="L30">
        <v>30</v>
      </c>
    </row>
    <row r="31" spans="1:12" x14ac:dyDescent="0.35">
      <c r="A31" t="s">
        <v>31</v>
      </c>
      <c r="B31">
        <v>68.37</v>
      </c>
      <c r="C31">
        <f t="shared" si="0"/>
        <v>-9.0274346323146529E-3</v>
      </c>
      <c r="D31">
        <f t="shared" si="1"/>
        <v>-0.61999999999999034</v>
      </c>
      <c r="E31">
        <f t="shared" si="2"/>
        <v>0</v>
      </c>
      <c r="F31">
        <f t="shared" si="3"/>
        <v>0.61999999999999034</v>
      </c>
      <c r="G31">
        <f t="shared" si="4"/>
        <v>0.60428571428571387</v>
      </c>
      <c r="H31">
        <f t="shared" si="5"/>
        <v>0.24928571428571342</v>
      </c>
      <c r="I31">
        <f t="shared" si="6"/>
        <v>2.4240687679083162</v>
      </c>
      <c r="J31">
        <f t="shared" si="7"/>
        <v>70.794979079497963</v>
      </c>
      <c r="K31">
        <v>70</v>
      </c>
      <c r="L31">
        <v>30</v>
      </c>
    </row>
    <row r="32" spans="1:12" x14ac:dyDescent="0.35">
      <c r="A32" t="s">
        <v>32</v>
      </c>
      <c r="B32">
        <v>68.989999999999995</v>
      </c>
      <c r="C32">
        <f t="shared" si="0"/>
        <v>1.1370384891389338E-2</v>
      </c>
      <c r="D32">
        <f t="shared" si="1"/>
        <v>0.78000000000000114</v>
      </c>
      <c r="E32">
        <f t="shared" si="2"/>
        <v>0.78000000000000114</v>
      </c>
      <c r="F32">
        <f t="shared" si="3"/>
        <v>0</v>
      </c>
      <c r="G32">
        <f t="shared" si="4"/>
        <v>0.74214285714285666</v>
      </c>
      <c r="H32">
        <f t="shared" si="5"/>
        <v>0.20499999999999982</v>
      </c>
      <c r="I32">
        <f t="shared" si="6"/>
        <v>3.6202090592334502</v>
      </c>
      <c r="J32">
        <f t="shared" si="7"/>
        <v>78.355957767722472</v>
      </c>
      <c r="K32">
        <v>70</v>
      </c>
      <c r="L32">
        <v>30</v>
      </c>
    </row>
    <row r="33" spans="1:12" x14ac:dyDescent="0.35">
      <c r="A33" t="s">
        <v>33</v>
      </c>
      <c r="B33">
        <v>68.209999999999994</v>
      </c>
      <c r="C33">
        <f t="shared" si="0"/>
        <v>1.6407137688991772E-2</v>
      </c>
      <c r="D33">
        <f t="shared" si="1"/>
        <v>1.1099999999999994</v>
      </c>
      <c r="E33">
        <f t="shared" si="2"/>
        <v>1.1099999999999994</v>
      </c>
      <c r="F33">
        <f t="shared" si="3"/>
        <v>0</v>
      </c>
      <c r="G33">
        <f t="shared" si="4"/>
        <v>0.71428571428571375</v>
      </c>
      <c r="H33">
        <f t="shared" si="5"/>
        <v>0.20499999999999982</v>
      </c>
      <c r="I33">
        <f t="shared" si="6"/>
        <v>3.4843205574912894</v>
      </c>
      <c r="J33">
        <f t="shared" si="7"/>
        <v>77.700077700077699</v>
      </c>
      <c r="K33">
        <v>70</v>
      </c>
      <c r="L33">
        <v>30</v>
      </c>
    </row>
    <row r="34" spans="1:12" x14ac:dyDescent="0.35">
      <c r="A34" t="s">
        <v>34</v>
      </c>
      <c r="B34">
        <v>67.099999999999994</v>
      </c>
      <c r="C34">
        <f t="shared" ref="C34:C65" si="8">LN(B34/B35)</f>
        <v>4.6051741217532173E-2</v>
      </c>
      <c r="D34">
        <f t="shared" ref="D34:D65" si="9" xml:space="preserve"> B34 - B35</f>
        <v>3.019999999999996</v>
      </c>
      <c r="E34">
        <f t="shared" si="2"/>
        <v>3.019999999999996</v>
      </c>
      <c r="F34">
        <f t="shared" si="3"/>
        <v>0</v>
      </c>
      <c r="G34">
        <f t="shared" si="4"/>
        <v>0.63499999999999956</v>
      </c>
      <c r="H34">
        <f t="shared" si="5"/>
        <v>0.22285714285714267</v>
      </c>
      <c r="I34">
        <f t="shared" si="6"/>
        <v>2.8493589743589749</v>
      </c>
      <c r="J34">
        <f t="shared" si="7"/>
        <v>74.021648626144881</v>
      </c>
      <c r="K34">
        <v>70</v>
      </c>
      <c r="L34">
        <v>30</v>
      </c>
    </row>
    <row r="35" spans="1:12" x14ac:dyDescent="0.35">
      <c r="A35" t="s">
        <v>35</v>
      </c>
      <c r="B35">
        <v>64.08</v>
      </c>
      <c r="C35">
        <f t="shared" si="8"/>
        <v>1.1141739424678191E-2</v>
      </c>
      <c r="D35">
        <f t="shared" si="9"/>
        <v>0.71000000000000085</v>
      </c>
      <c r="E35">
        <f t="shared" si="2"/>
        <v>0.71000000000000085</v>
      </c>
      <c r="F35">
        <f t="shared" si="3"/>
        <v>0</v>
      </c>
      <c r="G35">
        <f t="shared" si="4"/>
        <v>0.4192857142857141</v>
      </c>
      <c r="H35">
        <f t="shared" si="5"/>
        <v>0.26785714285714285</v>
      </c>
      <c r="I35">
        <f t="shared" si="6"/>
        <v>1.5653333333333326</v>
      </c>
      <c r="J35">
        <f t="shared" si="7"/>
        <v>61.018711018711002</v>
      </c>
      <c r="K35">
        <v>70</v>
      </c>
      <c r="L35">
        <v>30</v>
      </c>
    </row>
    <row r="36" spans="1:12" x14ac:dyDescent="0.35">
      <c r="A36" t="s">
        <v>36</v>
      </c>
      <c r="B36">
        <v>63.37</v>
      </c>
      <c r="C36">
        <f t="shared" si="8"/>
        <v>7.4443996290306331E-3</v>
      </c>
      <c r="D36">
        <f t="shared" si="9"/>
        <v>0.46999999999999886</v>
      </c>
      <c r="E36">
        <f t="shared" si="2"/>
        <v>0.46999999999999886</v>
      </c>
      <c r="F36">
        <f t="shared" si="3"/>
        <v>0</v>
      </c>
      <c r="G36">
        <f t="shared" si="4"/>
        <v>0.36857142857142833</v>
      </c>
      <c r="H36">
        <f t="shared" si="5"/>
        <v>0.28857142857142853</v>
      </c>
      <c r="I36">
        <f t="shared" si="6"/>
        <v>1.2772277227722766</v>
      </c>
      <c r="J36">
        <f t="shared" si="7"/>
        <v>56.086956521739118</v>
      </c>
      <c r="K36">
        <v>70</v>
      </c>
      <c r="L36">
        <v>30</v>
      </c>
    </row>
    <row r="37" spans="1:12" x14ac:dyDescent="0.35">
      <c r="A37" t="s">
        <v>37</v>
      </c>
      <c r="B37">
        <v>62.9</v>
      </c>
      <c r="C37">
        <f t="shared" si="8"/>
        <v>3.822878182349154E-3</v>
      </c>
      <c r="D37">
        <f t="shared" si="9"/>
        <v>0.24000000000000199</v>
      </c>
      <c r="E37">
        <f t="shared" si="2"/>
        <v>0.24000000000000199</v>
      </c>
      <c r="F37">
        <f t="shared" si="3"/>
        <v>0</v>
      </c>
      <c r="G37">
        <f t="shared" si="4"/>
        <v>0.36785714285714277</v>
      </c>
      <c r="H37">
        <f t="shared" si="5"/>
        <v>0.28857142857142853</v>
      </c>
      <c r="I37">
        <f t="shared" si="6"/>
        <v>1.2747524752475246</v>
      </c>
      <c r="J37">
        <f t="shared" si="7"/>
        <v>56.039173014145803</v>
      </c>
      <c r="K37">
        <v>70</v>
      </c>
      <c r="L37">
        <v>30</v>
      </c>
    </row>
    <row r="38" spans="1:12" x14ac:dyDescent="0.35">
      <c r="A38" t="s">
        <v>38</v>
      </c>
      <c r="B38">
        <v>62.66</v>
      </c>
      <c r="C38">
        <f t="shared" si="8"/>
        <v>7.207526997117155E-3</v>
      </c>
      <c r="D38">
        <f t="shared" si="9"/>
        <v>0.44999999999999574</v>
      </c>
      <c r="E38">
        <f t="shared" si="2"/>
        <v>0.44999999999999574</v>
      </c>
      <c r="F38">
        <f t="shared" si="3"/>
        <v>0</v>
      </c>
      <c r="G38">
        <f t="shared" si="4"/>
        <v>0.38428571428571395</v>
      </c>
      <c r="H38">
        <f t="shared" si="5"/>
        <v>0.28857142857142853</v>
      </c>
      <c r="I38">
        <f t="shared" si="6"/>
        <v>1.3316831683168306</v>
      </c>
      <c r="J38">
        <f t="shared" si="7"/>
        <v>57.112526539278115</v>
      </c>
      <c r="K38">
        <v>70</v>
      </c>
      <c r="L38">
        <v>30</v>
      </c>
    </row>
    <row r="39" spans="1:12" x14ac:dyDescent="0.35">
      <c r="A39" t="s">
        <v>39</v>
      </c>
      <c r="B39">
        <v>62.21</v>
      </c>
      <c r="C39">
        <f t="shared" si="8"/>
        <v>-1.0871410028483557E-2</v>
      </c>
      <c r="D39">
        <f t="shared" si="9"/>
        <v>-0.67999999999999972</v>
      </c>
      <c r="E39">
        <f t="shared" si="2"/>
        <v>0</v>
      </c>
      <c r="F39">
        <f t="shared" si="3"/>
        <v>0.67999999999999972</v>
      </c>
      <c r="G39">
        <f t="shared" si="4"/>
        <v>0.35214285714285715</v>
      </c>
      <c r="H39">
        <f t="shared" si="5"/>
        <v>0.307857142857143</v>
      </c>
      <c r="I39">
        <f t="shared" si="6"/>
        <v>1.1438515081206491</v>
      </c>
      <c r="J39">
        <f t="shared" si="7"/>
        <v>53.35497835497835</v>
      </c>
      <c r="K39">
        <v>70</v>
      </c>
      <c r="L39">
        <v>30</v>
      </c>
    </row>
    <row r="40" spans="1:12" x14ac:dyDescent="0.35">
      <c r="A40" t="s">
        <v>40</v>
      </c>
      <c r="B40">
        <v>62.89</v>
      </c>
      <c r="C40">
        <f t="shared" si="8"/>
        <v>-1.9062753985520928E-3</v>
      </c>
      <c r="D40">
        <f t="shared" si="9"/>
        <v>-0.11999999999999744</v>
      </c>
      <c r="E40">
        <f t="shared" si="2"/>
        <v>0</v>
      </c>
      <c r="F40">
        <f t="shared" si="3"/>
        <v>0.11999999999999744</v>
      </c>
      <c r="G40">
        <f t="shared" si="4"/>
        <v>0.38</v>
      </c>
      <c r="H40">
        <f t="shared" si="5"/>
        <v>0.25928571428571445</v>
      </c>
      <c r="I40">
        <f t="shared" si="6"/>
        <v>1.4655647382920101</v>
      </c>
      <c r="J40">
        <f t="shared" si="7"/>
        <v>59.441340782122893</v>
      </c>
      <c r="K40">
        <v>70</v>
      </c>
      <c r="L40">
        <v>30</v>
      </c>
    </row>
    <row r="41" spans="1:12" x14ac:dyDescent="0.35">
      <c r="A41" t="s">
        <v>41</v>
      </c>
      <c r="B41">
        <v>63.01</v>
      </c>
      <c r="C41">
        <f t="shared" si="8"/>
        <v>-9.0055115286925367E-3</v>
      </c>
      <c r="D41">
        <f t="shared" si="9"/>
        <v>-0.57000000000000028</v>
      </c>
      <c r="E41">
        <f t="shared" si="2"/>
        <v>0</v>
      </c>
      <c r="F41">
        <f t="shared" si="3"/>
        <v>0.57000000000000028</v>
      </c>
      <c r="G41">
        <f t="shared" si="4"/>
        <v>0.42142857142857182</v>
      </c>
      <c r="H41">
        <f t="shared" si="5"/>
        <v>0.25071428571428606</v>
      </c>
      <c r="I41">
        <f t="shared" si="6"/>
        <v>1.6809116809116802</v>
      </c>
      <c r="J41">
        <f t="shared" si="7"/>
        <v>62.699256110520707</v>
      </c>
      <c r="K41">
        <v>70</v>
      </c>
      <c r="L41">
        <v>30</v>
      </c>
    </row>
    <row r="42" spans="1:12" x14ac:dyDescent="0.35">
      <c r="A42" t="s">
        <v>42</v>
      </c>
      <c r="B42">
        <v>63.58</v>
      </c>
      <c r="C42">
        <f t="shared" si="8"/>
        <v>1.9214564944625454E-2</v>
      </c>
      <c r="D42">
        <f t="shared" si="9"/>
        <v>1.2100000000000009</v>
      </c>
      <c r="E42">
        <f t="shared" si="2"/>
        <v>1.2100000000000009</v>
      </c>
      <c r="F42">
        <f t="shared" si="3"/>
        <v>0</v>
      </c>
      <c r="G42">
        <f t="shared" si="4"/>
        <v>0.42142857142857182</v>
      </c>
      <c r="H42">
        <f t="shared" si="5"/>
        <v>0.25571428571428612</v>
      </c>
      <c r="I42">
        <f t="shared" si="6"/>
        <v>1.648044692737429</v>
      </c>
      <c r="J42">
        <f t="shared" si="7"/>
        <v>62.236286919831201</v>
      </c>
      <c r="K42">
        <v>70</v>
      </c>
      <c r="L42">
        <v>30</v>
      </c>
    </row>
    <row r="43" spans="1:12" x14ac:dyDescent="0.35">
      <c r="A43" t="s">
        <v>43</v>
      </c>
      <c r="B43">
        <v>62.37</v>
      </c>
      <c r="C43">
        <f t="shared" si="8"/>
        <v>7.5642108474808616E-3</v>
      </c>
      <c r="D43">
        <f t="shared" si="9"/>
        <v>0.46999999999999886</v>
      </c>
      <c r="E43">
        <f t="shared" si="2"/>
        <v>0.46999999999999886</v>
      </c>
      <c r="F43">
        <f t="shared" si="3"/>
        <v>0</v>
      </c>
      <c r="G43">
        <f t="shared" si="4"/>
        <v>0.3971428571428573</v>
      </c>
      <c r="H43">
        <f t="shared" si="5"/>
        <v>0.25571428571428612</v>
      </c>
      <c r="I43">
        <f t="shared" si="6"/>
        <v>1.5530726256983223</v>
      </c>
      <c r="J43">
        <f t="shared" si="7"/>
        <v>60.831509846827103</v>
      </c>
      <c r="K43">
        <v>70</v>
      </c>
      <c r="L43">
        <v>30</v>
      </c>
    </row>
    <row r="44" spans="1:12" x14ac:dyDescent="0.35">
      <c r="A44" t="s">
        <v>44</v>
      </c>
      <c r="B44">
        <v>61.9</v>
      </c>
      <c r="C44">
        <f t="shared" si="8"/>
        <v>-2.3943681752629783E-2</v>
      </c>
      <c r="D44">
        <f t="shared" si="9"/>
        <v>-1.5</v>
      </c>
      <c r="E44">
        <f t="shared" si="2"/>
        <v>0</v>
      </c>
      <c r="F44">
        <f t="shared" si="3"/>
        <v>1.5</v>
      </c>
      <c r="G44">
        <f t="shared" si="4"/>
        <v>0.36571428571428605</v>
      </c>
      <c r="H44">
        <f t="shared" si="5"/>
        <v>0.25571428571428612</v>
      </c>
      <c r="I44">
        <f t="shared" si="6"/>
        <v>1.4301675977653623</v>
      </c>
      <c r="J44">
        <f t="shared" si="7"/>
        <v>58.85057471264367</v>
      </c>
      <c r="K44">
        <v>70</v>
      </c>
      <c r="L44">
        <v>30</v>
      </c>
    </row>
    <row r="45" spans="1:12" x14ac:dyDescent="0.35">
      <c r="A45" t="s">
        <v>45</v>
      </c>
      <c r="B45">
        <v>63.4</v>
      </c>
      <c r="C45">
        <f t="shared" si="8"/>
        <v>3.0914610524262226E-2</v>
      </c>
      <c r="D45">
        <f t="shared" si="9"/>
        <v>1.9299999999999997</v>
      </c>
      <c r="E45">
        <f t="shared" si="2"/>
        <v>1.9299999999999997</v>
      </c>
      <c r="F45">
        <f t="shared" si="3"/>
        <v>0</v>
      </c>
      <c r="G45">
        <f t="shared" si="4"/>
        <v>0.36571428571428605</v>
      </c>
      <c r="H45">
        <f t="shared" si="5"/>
        <v>0.21571428571428594</v>
      </c>
      <c r="I45">
        <f t="shared" si="6"/>
        <v>1.6953642384105958</v>
      </c>
      <c r="J45">
        <f t="shared" si="7"/>
        <v>62.899262899262894</v>
      </c>
      <c r="K45">
        <v>70</v>
      </c>
      <c r="L45">
        <v>30</v>
      </c>
    </row>
    <row r="46" spans="1:12" x14ac:dyDescent="0.35">
      <c r="A46" t="s">
        <v>46</v>
      </c>
      <c r="B46">
        <v>61.47</v>
      </c>
      <c r="C46">
        <f t="shared" si="8"/>
        <v>6.3647705684864815E-3</v>
      </c>
      <c r="D46">
        <f t="shared" si="9"/>
        <v>0.39000000000000057</v>
      </c>
      <c r="E46">
        <f t="shared" si="2"/>
        <v>0.39000000000000057</v>
      </c>
      <c r="F46">
        <f t="shared" si="3"/>
        <v>0</v>
      </c>
      <c r="G46">
        <f t="shared" si="4"/>
        <v>0.2278571428571432</v>
      </c>
      <c r="H46">
        <f t="shared" si="5"/>
        <v>0.22214285714285761</v>
      </c>
      <c r="I46">
        <f t="shared" si="6"/>
        <v>1.0257234726688096</v>
      </c>
      <c r="J46">
        <f t="shared" si="7"/>
        <v>50.634920634920618</v>
      </c>
      <c r="K46">
        <v>70</v>
      </c>
      <c r="L46">
        <v>30</v>
      </c>
    </row>
    <row r="47" spans="1:12" x14ac:dyDescent="0.35">
      <c r="A47" t="s">
        <v>47</v>
      </c>
      <c r="B47">
        <v>61.08</v>
      </c>
      <c r="C47">
        <f t="shared" si="8"/>
        <v>-4.0846392874607082E-3</v>
      </c>
      <c r="D47">
        <f t="shared" si="9"/>
        <v>-0.25</v>
      </c>
      <c r="E47">
        <f t="shared" si="2"/>
        <v>0</v>
      </c>
      <c r="F47">
        <f t="shared" si="3"/>
        <v>0.25</v>
      </c>
      <c r="G47">
        <f t="shared" si="4"/>
        <v>0.20000000000000032</v>
      </c>
      <c r="H47">
        <f t="shared" si="5"/>
        <v>0.25142857142857167</v>
      </c>
      <c r="I47">
        <f t="shared" si="6"/>
        <v>0.79545454545454597</v>
      </c>
      <c r="J47">
        <f t="shared" si="7"/>
        <v>44.303797468354446</v>
      </c>
      <c r="K47">
        <v>70</v>
      </c>
      <c r="L47">
        <v>30</v>
      </c>
    </row>
    <row r="48" spans="1:12" x14ac:dyDescent="0.35">
      <c r="A48" t="s">
        <v>48</v>
      </c>
      <c r="B48">
        <v>61.33</v>
      </c>
      <c r="C48">
        <f t="shared" si="8"/>
        <v>-1.0219895910775529E-2</v>
      </c>
      <c r="D48">
        <f t="shared" si="9"/>
        <v>-0.63000000000000256</v>
      </c>
      <c r="E48">
        <f t="shared" si="2"/>
        <v>0</v>
      </c>
      <c r="F48">
        <f t="shared" si="3"/>
        <v>0.63000000000000256</v>
      </c>
      <c r="G48">
        <f t="shared" si="4"/>
        <v>0.21571428571428594</v>
      </c>
      <c r="H48">
        <f t="shared" si="5"/>
        <v>0.23357142857142879</v>
      </c>
      <c r="I48">
        <f t="shared" si="6"/>
        <v>0.92354740061162088</v>
      </c>
      <c r="J48">
        <f t="shared" si="7"/>
        <v>48.012718600953896</v>
      </c>
      <c r="K48">
        <v>70</v>
      </c>
      <c r="L48">
        <v>30</v>
      </c>
    </row>
    <row r="49" spans="1:12" x14ac:dyDescent="0.35">
      <c r="A49" t="s">
        <v>49</v>
      </c>
      <c r="B49">
        <v>61.96</v>
      </c>
      <c r="C49">
        <f t="shared" si="8"/>
        <v>-4.6695197961491323E-3</v>
      </c>
      <c r="D49">
        <f t="shared" si="9"/>
        <v>-0.28999999999999915</v>
      </c>
      <c r="E49">
        <f t="shared" si="2"/>
        <v>0</v>
      </c>
      <c r="F49">
        <f t="shared" si="3"/>
        <v>0.28999999999999915</v>
      </c>
      <c r="G49">
        <f t="shared" si="4"/>
        <v>0.21571428571428594</v>
      </c>
      <c r="H49">
        <f t="shared" si="5"/>
        <v>0.21785714285714317</v>
      </c>
      <c r="I49">
        <f t="shared" si="6"/>
        <v>0.99016393442622919</v>
      </c>
      <c r="J49">
        <f t="shared" si="7"/>
        <v>49.752883031301472</v>
      </c>
      <c r="K49">
        <v>70</v>
      </c>
      <c r="L49">
        <v>30</v>
      </c>
    </row>
    <row r="50" spans="1:12" x14ac:dyDescent="0.35">
      <c r="A50" t="s">
        <v>50</v>
      </c>
      <c r="B50">
        <v>62.25</v>
      </c>
      <c r="C50">
        <f t="shared" si="8"/>
        <v>7.4169962719287282E-3</v>
      </c>
      <c r="D50">
        <f t="shared" si="9"/>
        <v>0.46000000000000085</v>
      </c>
      <c r="E50">
        <f t="shared" si="2"/>
        <v>0.46000000000000085</v>
      </c>
      <c r="F50">
        <f t="shared" si="3"/>
        <v>0</v>
      </c>
      <c r="G50">
        <f t="shared" si="4"/>
        <v>0.21571428571428594</v>
      </c>
      <c r="H50">
        <f t="shared" si="5"/>
        <v>0.2057142857142859</v>
      </c>
      <c r="I50">
        <f t="shared" si="6"/>
        <v>1.0486111111111112</v>
      </c>
      <c r="J50">
        <f t="shared" si="7"/>
        <v>51.186440677966104</v>
      </c>
      <c r="K50">
        <v>70</v>
      </c>
      <c r="L50">
        <v>30</v>
      </c>
    </row>
    <row r="51" spans="1:12" x14ac:dyDescent="0.35">
      <c r="A51" t="s">
        <v>51</v>
      </c>
      <c r="B51">
        <v>61.79</v>
      </c>
      <c r="C51">
        <f t="shared" si="8"/>
        <v>7.6354850692747379E-3</v>
      </c>
      <c r="D51">
        <f t="shared" si="9"/>
        <v>0.46999999999999886</v>
      </c>
      <c r="E51">
        <f t="shared" si="2"/>
        <v>0.46999999999999886</v>
      </c>
      <c r="F51">
        <f t="shared" si="3"/>
        <v>0</v>
      </c>
      <c r="G51">
        <f t="shared" si="4"/>
        <v>0.18285714285714302</v>
      </c>
      <c r="H51">
        <f t="shared" si="5"/>
        <v>0.22500000000000039</v>
      </c>
      <c r="I51">
        <f t="shared" si="6"/>
        <v>0.81269841269841203</v>
      </c>
      <c r="J51">
        <f t="shared" si="7"/>
        <v>44.833625218914165</v>
      </c>
      <c r="K51">
        <v>70</v>
      </c>
      <c r="L51">
        <v>30</v>
      </c>
    </row>
    <row r="52" spans="1:12" x14ac:dyDescent="0.35">
      <c r="A52" t="s">
        <v>52</v>
      </c>
      <c r="B52">
        <v>61.32</v>
      </c>
      <c r="C52">
        <f t="shared" si="8"/>
        <v>-4.3934656953385377E-3</v>
      </c>
      <c r="D52">
        <f t="shared" si="9"/>
        <v>-0.27000000000000313</v>
      </c>
      <c r="E52">
        <f t="shared" si="2"/>
        <v>0</v>
      </c>
      <c r="F52">
        <f t="shared" si="3"/>
        <v>0.27000000000000313</v>
      </c>
      <c r="G52">
        <f t="shared" si="4"/>
        <v>0.18214285714285744</v>
      </c>
      <c r="H52">
        <f t="shared" si="5"/>
        <v>0.22500000000000039</v>
      </c>
      <c r="I52">
        <f t="shared" si="6"/>
        <v>0.80952380952380942</v>
      </c>
      <c r="J52">
        <f t="shared" si="7"/>
        <v>44.73684210526315</v>
      </c>
      <c r="K52">
        <v>70</v>
      </c>
      <c r="L52">
        <v>30</v>
      </c>
    </row>
    <row r="53" spans="1:12" x14ac:dyDescent="0.35">
      <c r="A53" t="s">
        <v>53</v>
      </c>
      <c r="B53">
        <v>61.59</v>
      </c>
      <c r="C53">
        <f t="shared" si="8"/>
        <v>6.3523301806714741E-3</v>
      </c>
      <c r="D53">
        <f t="shared" si="9"/>
        <v>0.39000000000000057</v>
      </c>
      <c r="E53">
        <f t="shared" si="2"/>
        <v>0.39000000000000057</v>
      </c>
      <c r="F53">
        <f t="shared" si="3"/>
        <v>0</v>
      </c>
      <c r="G53">
        <f t="shared" si="4"/>
        <v>0.18214285714285744</v>
      </c>
      <c r="H53">
        <f t="shared" si="5"/>
        <v>0.21785714285714317</v>
      </c>
      <c r="I53">
        <f t="shared" si="6"/>
        <v>0.83606557377049195</v>
      </c>
      <c r="J53">
        <f t="shared" si="7"/>
        <v>45.535714285714292</v>
      </c>
      <c r="K53">
        <v>70</v>
      </c>
      <c r="L53">
        <v>30</v>
      </c>
    </row>
    <row r="54" spans="1:12" x14ac:dyDescent="0.35">
      <c r="A54" t="s">
        <v>54</v>
      </c>
      <c r="B54">
        <v>61.2</v>
      </c>
      <c r="C54">
        <f t="shared" si="8"/>
        <v>9.5223178886234376E-3</v>
      </c>
      <c r="D54">
        <f t="shared" si="9"/>
        <v>0.5800000000000054</v>
      </c>
      <c r="E54">
        <f t="shared" si="2"/>
        <v>0.5800000000000054</v>
      </c>
      <c r="F54">
        <f t="shared" si="3"/>
        <v>0</v>
      </c>
      <c r="G54">
        <f t="shared" si="4"/>
        <v>0.16142857142857178</v>
      </c>
      <c r="H54">
        <f t="shared" si="5"/>
        <v>0.21785714285714317</v>
      </c>
      <c r="I54">
        <f t="shared" si="6"/>
        <v>0.74098360655737761</v>
      </c>
      <c r="J54">
        <f t="shared" si="7"/>
        <v>42.561205273069696</v>
      </c>
      <c r="K54">
        <v>70</v>
      </c>
      <c r="L54">
        <v>30</v>
      </c>
    </row>
    <row r="55" spans="1:12" x14ac:dyDescent="0.35">
      <c r="A55" t="s">
        <v>55</v>
      </c>
      <c r="B55">
        <v>60.62</v>
      </c>
      <c r="C55">
        <f t="shared" si="8"/>
        <v>-1.0502229774972135E-2</v>
      </c>
      <c r="D55">
        <f t="shared" si="9"/>
        <v>-0.64000000000000057</v>
      </c>
      <c r="E55">
        <f t="shared" si="2"/>
        <v>0</v>
      </c>
      <c r="F55">
        <f t="shared" si="3"/>
        <v>0.64000000000000057</v>
      </c>
      <c r="G55">
        <f t="shared" si="4"/>
        <v>0.11999999999999998</v>
      </c>
      <c r="H55">
        <f t="shared" si="5"/>
        <v>0.24642857142857164</v>
      </c>
      <c r="I55">
        <f t="shared" si="6"/>
        <v>0.48695652173912995</v>
      </c>
      <c r="J55">
        <f t="shared" si="7"/>
        <v>32.748538011695885</v>
      </c>
      <c r="K55">
        <v>70</v>
      </c>
      <c r="L55">
        <v>30</v>
      </c>
    </row>
    <row r="56" spans="1:12" x14ac:dyDescent="0.35">
      <c r="A56" t="s">
        <v>56</v>
      </c>
      <c r="B56">
        <v>61.26</v>
      </c>
      <c r="C56">
        <f t="shared" si="8"/>
        <v>1.4303573084819436E-2</v>
      </c>
      <c r="D56">
        <f t="shared" si="9"/>
        <v>0.86999999999999744</v>
      </c>
      <c r="E56">
        <f t="shared" si="2"/>
        <v>0.86999999999999744</v>
      </c>
      <c r="F56">
        <f t="shared" si="3"/>
        <v>0</v>
      </c>
      <c r="G56">
        <f t="shared" si="4"/>
        <v>0.11999999999999998</v>
      </c>
      <c r="H56">
        <f t="shared" si="5"/>
        <v>0.23999999999999996</v>
      </c>
      <c r="I56">
        <f t="shared" si="6"/>
        <v>0.5</v>
      </c>
      <c r="J56">
        <f t="shared" si="7"/>
        <v>33.333333333333329</v>
      </c>
      <c r="K56">
        <v>70</v>
      </c>
      <c r="L56">
        <v>30</v>
      </c>
    </row>
    <row r="57" spans="1:12" x14ac:dyDescent="0.35">
      <c r="A57" t="s">
        <v>57</v>
      </c>
      <c r="B57">
        <v>60.39</v>
      </c>
      <c r="C57">
        <f t="shared" si="8"/>
        <v>4.968944201617485E-4</v>
      </c>
      <c r="D57">
        <f t="shared" si="9"/>
        <v>3.0000000000001137E-2</v>
      </c>
      <c r="E57">
        <f t="shared" si="2"/>
        <v>3.0000000000001137E-2</v>
      </c>
      <c r="F57">
        <f t="shared" si="3"/>
        <v>0</v>
      </c>
      <c r="G57">
        <f t="shared" si="4"/>
        <v>0.11857142857142833</v>
      </c>
      <c r="H57">
        <f t="shared" si="5"/>
        <v>0.23999999999999996</v>
      </c>
      <c r="I57">
        <f t="shared" si="6"/>
        <v>0.49404761904761813</v>
      </c>
      <c r="J57">
        <f t="shared" si="7"/>
        <v>33.067729083665299</v>
      </c>
      <c r="K57">
        <v>70</v>
      </c>
      <c r="L57">
        <v>30</v>
      </c>
    </row>
    <row r="58" spans="1:12" x14ac:dyDescent="0.35">
      <c r="A58" t="s">
        <v>58</v>
      </c>
      <c r="B58">
        <v>60.36</v>
      </c>
      <c r="C58">
        <f t="shared" si="8"/>
        <v>-1.5453209042517551E-2</v>
      </c>
      <c r="D58">
        <f t="shared" si="9"/>
        <v>-0.93999999999999773</v>
      </c>
      <c r="E58">
        <f t="shared" si="2"/>
        <v>0</v>
      </c>
      <c r="F58">
        <f t="shared" si="3"/>
        <v>0.93999999999999773</v>
      </c>
      <c r="G58">
        <f t="shared" si="4"/>
        <v>0.1164285714285711</v>
      </c>
      <c r="H58">
        <f t="shared" si="5"/>
        <v>0.28071428571428519</v>
      </c>
      <c r="I58">
        <f t="shared" si="6"/>
        <v>0.41475826972010138</v>
      </c>
      <c r="J58">
        <f t="shared" si="7"/>
        <v>29.316546762589908</v>
      </c>
      <c r="K58">
        <v>70</v>
      </c>
      <c r="L58">
        <v>30</v>
      </c>
    </row>
    <row r="59" spans="1:12" x14ac:dyDescent="0.35">
      <c r="A59" t="s">
        <v>59</v>
      </c>
      <c r="B59">
        <v>61.3</v>
      </c>
      <c r="C59">
        <f t="shared" si="8"/>
        <v>-1.4671124972393467E-3</v>
      </c>
      <c r="D59">
        <f t="shared" si="9"/>
        <v>-9.0000000000003411E-2</v>
      </c>
      <c r="E59">
        <f t="shared" si="2"/>
        <v>0</v>
      </c>
      <c r="F59">
        <f t="shared" si="3"/>
        <v>9.0000000000003411E-2</v>
      </c>
      <c r="G59">
        <f t="shared" si="4"/>
        <v>0.1164285714285711</v>
      </c>
      <c r="H59">
        <f t="shared" si="5"/>
        <v>0.26428571428571396</v>
      </c>
      <c r="I59">
        <f t="shared" si="6"/>
        <v>0.44054054054053987</v>
      </c>
      <c r="J59">
        <f t="shared" si="7"/>
        <v>30.581613508442743</v>
      </c>
      <c r="K59">
        <v>70</v>
      </c>
      <c r="L59">
        <v>30</v>
      </c>
    </row>
    <row r="60" spans="1:12" x14ac:dyDescent="0.35">
      <c r="A60" t="s">
        <v>60</v>
      </c>
      <c r="B60">
        <v>61.39</v>
      </c>
      <c r="C60">
        <f t="shared" si="8"/>
        <v>-6.6564090242400027E-3</v>
      </c>
      <c r="D60">
        <f t="shared" si="9"/>
        <v>-0.40999999999999659</v>
      </c>
      <c r="E60">
        <f t="shared" si="2"/>
        <v>0</v>
      </c>
      <c r="F60">
        <f t="shared" si="3"/>
        <v>0.40999999999999659</v>
      </c>
      <c r="G60">
        <f t="shared" si="4"/>
        <v>0.20142857142857093</v>
      </c>
      <c r="H60">
        <f t="shared" si="5"/>
        <v>0.25785714285714229</v>
      </c>
      <c r="I60">
        <f t="shared" si="6"/>
        <v>0.78116343490304685</v>
      </c>
      <c r="J60">
        <f t="shared" si="7"/>
        <v>43.856920684292369</v>
      </c>
      <c r="K60">
        <v>70</v>
      </c>
      <c r="L60">
        <v>30</v>
      </c>
    </row>
    <row r="61" spans="1:12" x14ac:dyDescent="0.35">
      <c r="A61" t="s">
        <v>61</v>
      </c>
      <c r="B61">
        <v>61.8</v>
      </c>
      <c r="C61">
        <f t="shared" si="8"/>
        <v>3.5662219672907905E-3</v>
      </c>
      <c r="D61">
        <f t="shared" si="9"/>
        <v>0.21999999999999886</v>
      </c>
      <c r="E61">
        <f t="shared" si="2"/>
        <v>0.21999999999999886</v>
      </c>
      <c r="F61">
        <f t="shared" si="3"/>
        <v>0</v>
      </c>
      <c r="G61">
        <f t="shared" si="4"/>
        <v>0.20142857142857093</v>
      </c>
      <c r="H61">
        <f t="shared" si="5"/>
        <v>0.24785714285714278</v>
      </c>
      <c r="I61">
        <f t="shared" si="6"/>
        <v>0.81268011527377348</v>
      </c>
      <c r="J61">
        <f t="shared" si="7"/>
        <v>44.833068362480077</v>
      </c>
      <c r="K61">
        <v>70</v>
      </c>
      <c r="L61">
        <v>30</v>
      </c>
    </row>
    <row r="62" spans="1:12" x14ac:dyDescent="0.35">
      <c r="A62" t="s">
        <v>62</v>
      </c>
      <c r="B62">
        <v>61.58</v>
      </c>
      <c r="C62">
        <f t="shared" si="8"/>
        <v>-6.6359392174738232E-3</v>
      </c>
      <c r="D62">
        <f t="shared" si="9"/>
        <v>-0.41000000000000369</v>
      </c>
      <c r="E62">
        <f t="shared" si="2"/>
        <v>0</v>
      </c>
      <c r="F62">
        <f t="shared" si="3"/>
        <v>0.41000000000000369</v>
      </c>
      <c r="G62">
        <f t="shared" si="4"/>
        <v>0.2078571428571426</v>
      </c>
      <c r="H62">
        <f t="shared" si="5"/>
        <v>0.24785714285714278</v>
      </c>
      <c r="I62">
        <f t="shared" si="6"/>
        <v>0.83861671469740562</v>
      </c>
      <c r="J62">
        <f t="shared" si="7"/>
        <v>45.611285266457664</v>
      </c>
      <c r="K62">
        <v>70</v>
      </c>
      <c r="L62">
        <v>30</v>
      </c>
    </row>
    <row r="63" spans="1:12" x14ac:dyDescent="0.35">
      <c r="A63" t="s">
        <v>63</v>
      </c>
      <c r="B63">
        <v>61.99</v>
      </c>
      <c r="C63">
        <f t="shared" si="8"/>
        <v>-1.9339248573834841E-3</v>
      </c>
      <c r="D63">
        <f t="shared" si="9"/>
        <v>-0.11999999999999744</v>
      </c>
      <c r="E63">
        <f t="shared" si="2"/>
        <v>0</v>
      </c>
      <c r="F63">
        <f t="shared" si="3"/>
        <v>0.11999999999999744</v>
      </c>
      <c r="G63">
        <f t="shared" si="4"/>
        <v>0.21285714285714263</v>
      </c>
      <c r="H63">
        <f t="shared" si="5"/>
        <v>0.21857142857142822</v>
      </c>
      <c r="I63">
        <f t="shared" si="6"/>
        <v>0.97385620915032733</v>
      </c>
      <c r="J63">
        <f t="shared" si="7"/>
        <v>49.337748344370873</v>
      </c>
      <c r="K63">
        <v>70</v>
      </c>
      <c r="L63">
        <v>30</v>
      </c>
    </row>
    <row r="64" spans="1:12" x14ac:dyDescent="0.35">
      <c r="A64" t="s">
        <v>64</v>
      </c>
      <c r="B64">
        <v>62.11</v>
      </c>
      <c r="C64">
        <f t="shared" si="8"/>
        <v>-4.3377046084456198E-3</v>
      </c>
      <c r="D64">
        <f t="shared" si="9"/>
        <v>-0.27000000000000313</v>
      </c>
      <c r="E64">
        <f t="shared" si="2"/>
        <v>0</v>
      </c>
      <c r="F64">
        <f t="shared" si="3"/>
        <v>0.27000000000000313</v>
      </c>
      <c r="G64">
        <f t="shared" si="4"/>
        <v>0.21285714285714263</v>
      </c>
      <c r="H64">
        <f t="shared" si="5"/>
        <v>0.23785714285714274</v>
      </c>
      <c r="I64">
        <f t="shared" si="6"/>
        <v>0.89489489489489438</v>
      </c>
      <c r="J64">
        <f t="shared" si="7"/>
        <v>47.226624405705216</v>
      </c>
      <c r="K64">
        <v>70</v>
      </c>
      <c r="L64">
        <v>30</v>
      </c>
    </row>
    <row r="65" spans="1:12" x14ac:dyDescent="0.35">
      <c r="A65" t="s">
        <v>65</v>
      </c>
      <c r="B65">
        <v>62.38</v>
      </c>
      <c r="C65">
        <f t="shared" si="8"/>
        <v>7.4014818981856124E-3</v>
      </c>
      <c r="D65">
        <f t="shared" si="9"/>
        <v>0.46000000000000085</v>
      </c>
      <c r="E65">
        <f t="shared" si="2"/>
        <v>0.46000000000000085</v>
      </c>
      <c r="F65">
        <f t="shared" si="3"/>
        <v>0</v>
      </c>
      <c r="G65">
        <f t="shared" si="4"/>
        <v>0.2635714285714284</v>
      </c>
      <c r="H65">
        <f t="shared" si="5"/>
        <v>0.21857142857142822</v>
      </c>
      <c r="I65">
        <f t="shared" si="6"/>
        <v>1.2058823529411775</v>
      </c>
      <c r="J65">
        <f t="shared" si="7"/>
        <v>54.666666666666686</v>
      </c>
      <c r="K65">
        <v>70</v>
      </c>
      <c r="L65">
        <v>30</v>
      </c>
    </row>
    <row r="66" spans="1:12" x14ac:dyDescent="0.35">
      <c r="A66" t="s">
        <v>66</v>
      </c>
      <c r="B66">
        <v>61.92</v>
      </c>
      <c r="C66">
        <f t="shared" ref="C66:C97" si="10">LN(B66/B67)</f>
        <v>-2.7417160953297727E-3</v>
      </c>
      <c r="D66">
        <f t="shared" ref="D66:D97" si="11" xml:space="preserve"> B66 - B67</f>
        <v>-0.17000000000000171</v>
      </c>
      <c r="E66">
        <f t="shared" si="2"/>
        <v>0</v>
      </c>
      <c r="F66">
        <f t="shared" si="3"/>
        <v>0.17000000000000171</v>
      </c>
      <c r="G66">
        <f t="shared" si="4"/>
        <v>0.23071428571428548</v>
      </c>
      <c r="H66">
        <f t="shared" si="5"/>
        <v>0.31142857142857089</v>
      </c>
      <c r="I66">
        <f t="shared" si="6"/>
        <v>0.74082568807339499</v>
      </c>
      <c r="J66">
        <f t="shared" si="7"/>
        <v>42.555994729907788</v>
      </c>
      <c r="K66">
        <v>70</v>
      </c>
      <c r="L66">
        <v>30</v>
      </c>
    </row>
    <row r="67" spans="1:12" x14ac:dyDescent="0.35">
      <c r="A67" t="s">
        <v>67</v>
      </c>
      <c r="B67">
        <v>62.09</v>
      </c>
      <c r="C67">
        <f t="shared" si="10"/>
        <v>1.6118636629733596E-3</v>
      </c>
      <c r="D67">
        <f t="shared" si="11"/>
        <v>0.10000000000000142</v>
      </c>
      <c r="E67">
        <f t="shared" ref="E67:E130" si="12" xml:space="preserve"> IF(D67 &gt; 0, D67, 0)</f>
        <v>0.10000000000000142</v>
      </c>
      <c r="F67">
        <f t="shared" ref="F67:F130" si="13" xml:space="preserve"> IF(D67 &lt; 0, ABS(D67), 0)</f>
        <v>0</v>
      </c>
      <c r="G67">
        <f t="shared" ref="G67:G130" si="14" xml:space="preserve"> AVERAGE(E67:E80)</f>
        <v>0.23071428571428548</v>
      </c>
      <c r="H67">
        <f t="shared" ref="H67:H130" si="15" xml:space="preserve"> AVERAGE(F67:F80)</f>
        <v>0.30857142857142811</v>
      </c>
      <c r="I67">
        <f t="shared" ref="I67:I130" si="16">G67/H67</f>
        <v>0.74768518518518556</v>
      </c>
      <c r="J67">
        <f t="shared" ref="J67:J130" si="17" xml:space="preserve"> 100 - (100 / (1 + I67))</f>
        <v>42.781456953642397</v>
      </c>
      <c r="K67">
        <v>70</v>
      </c>
      <c r="L67">
        <v>30</v>
      </c>
    </row>
    <row r="68" spans="1:12" x14ac:dyDescent="0.35">
      <c r="A68" t="s">
        <v>68</v>
      </c>
      <c r="B68">
        <v>61.99</v>
      </c>
      <c r="C68">
        <f t="shared" si="10"/>
        <v>-6.431924408866958E-3</v>
      </c>
      <c r="D68">
        <f t="shared" si="11"/>
        <v>-0.39999999999999858</v>
      </c>
      <c r="E68">
        <f t="shared" si="12"/>
        <v>0</v>
      </c>
      <c r="F68">
        <f t="shared" si="13"/>
        <v>0.39999999999999858</v>
      </c>
      <c r="G68">
        <f t="shared" si="14"/>
        <v>0.22357142857142825</v>
      </c>
      <c r="H68">
        <f t="shared" si="15"/>
        <v>0.3392857142857138</v>
      </c>
      <c r="I68">
        <f t="shared" si="16"/>
        <v>0.65894736842105261</v>
      </c>
      <c r="J68">
        <f t="shared" si="17"/>
        <v>39.72081218274112</v>
      </c>
      <c r="K68">
        <v>70</v>
      </c>
      <c r="L68">
        <v>30</v>
      </c>
    </row>
    <row r="69" spans="1:12" x14ac:dyDescent="0.35">
      <c r="A69" t="s">
        <v>69</v>
      </c>
      <c r="B69">
        <v>62.39</v>
      </c>
      <c r="C69">
        <f t="shared" si="10"/>
        <v>-8.7768855135657679E-3</v>
      </c>
      <c r="D69">
        <f t="shared" si="11"/>
        <v>-0.54999999999999716</v>
      </c>
      <c r="E69">
        <f t="shared" si="12"/>
        <v>0</v>
      </c>
      <c r="F69">
        <f t="shared" si="13"/>
        <v>0.54999999999999716</v>
      </c>
      <c r="G69">
        <f t="shared" si="14"/>
        <v>0.23285714285714271</v>
      </c>
      <c r="H69">
        <f t="shared" si="15"/>
        <v>0.31071428571428533</v>
      </c>
      <c r="I69">
        <f t="shared" si="16"/>
        <v>0.7494252873563223</v>
      </c>
      <c r="J69">
        <f t="shared" si="17"/>
        <v>42.838370565046006</v>
      </c>
      <c r="K69">
        <v>70</v>
      </c>
      <c r="L69">
        <v>30</v>
      </c>
    </row>
    <row r="70" spans="1:12" x14ac:dyDescent="0.35">
      <c r="A70" t="s">
        <v>70</v>
      </c>
      <c r="B70">
        <v>62.94</v>
      </c>
      <c r="C70">
        <f t="shared" si="10"/>
        <v>1.3596946259459376E-2</v>
      </c>
      <c r="D70">
        <f t="shared" si="11"/>
        <v>0.84999999999999432</v>
      </c>
      <c r="E70">
        <f t="shared" si="12"/>
        <v>0.84999999999999432</v>
      </c>
      <c r="F70">
        <f t="shared" si="13"/>
        <v>0</v>
      </c>
      <c r="G70">
        <f t="shared" si="14"/>
        <v>0.23285714285714271</v>
      </c>
      <c r="H70">
        <f t="shared" si="15"/>
        <v>0.27928571428571453</v>
      </c>
      <c r="I70">
        <f t="shared" si="16"/>
        <v>0.83375959079283757</v>
      </c>
      <c r="J70">
        <f t="shared" si="17"/>
        <v>45.467224546722413</v>
      </c>
      <c r="K70">
        <v>70</v>
      </c>
      <c r="L70">
        <v>30</v>
      </c>
    </row>
    <row r="71" spans="1:12" x14ac:dyDescent="0.35">
      <c r="A71" t="s">
        <v>71</v>
      </c>
      <c r="B71">
        <v>62.09</v>
      </c>
      <c r="C71">
        <f t="shared" si="10"/>
        <v>-9.1383401472441006E-3</v>
      </c>
      <c r="D71">
        <f t="shared" si="11"/>
        <v>-0.56999999999999318</v>
      </c>
      <c r="E71">
        <f t="shared" si="12"/>
        <v>0</v>
      </c>
      <c r="F71">
        <f t="shared" si="13"/>
        <v>0.56999999999999318</v>
      </c>
      <c r="G71">
        <f t="shared" si="14"/>
        <v>0.18357142857142911</v>
      </c>
      <c r="H71">
        <f t="shared" si="15"/>
        <v>0.27928571428571453</v>
      </c>
      <c r="I71">
        <f t="shared" si="16"/>
        <v>0.65728900255754608</v>
      </c>
      <c r="J71">
        <f t="shared" si="17"/>
        <v>39.660493827160543</v>
      </c>
      <c r="K71">
        <v>70</v>
      </c>
      <c r="L71">
        <v>30</v>
      </c>
    </row>
    <row r="72" spans="1:12" x14ac:dyDescent="0.35">
      <c r="A72" t="s">
        <v>72</v>
      </c>
      <c r="B72">
        <v>62.66</v>
      </c>
      <c r="C72">
        <f t="shared" si="10"/>
        <v>-1.126727781137994E-2</v>
      </c>
      <c r="D72">
        <f t="shared" si="11"/>
        <v>-0.71000000000000085</v>
      </c>
      <c r="E72">
        <f t="shared" si="12"/>
        <v>0</v>
      </c>
      <c r="F72">
        <f t="shared" si="13"/>
        <v>0.71000000000000085</v>
      </c>
      <c r="G72">
        <f t="shared" si="14"/>
        <v>0.21642857142857203</v>
      </c>
      <c r="H72">
        <f t="shared" si="15"/>
        <v>0.23857142857142932</v>
      </c>
      <c r="I72">
        <f t="shared" si="16"/>
        <v>0.90718562874251463</v>
      </c>
      <c r="J72">
        <f t="shared" si="17"/>
        <v>47.566718995290415</v>
      </c>
      <c r="K72">
        <v>70</v>
      </c>
      <c r="L72">
        <v>30</v>
      </c>
    </row>
    <row r="73" spans="1:12" x14ac:dyDescent="0.35">
      <c r="A73" t="s">
        <v>73</v>
      </c>
      <c r="B73">
        <v>63.37</v>
      </c>
      <c r="C73">
        <f t="shared" si="10"/>
        <v>1.8957158704817765E-2</v>
      </c>
      <c r="D73">
        <f t="shared" si="11"/>
        <v>1.1899999999999977</v>
      </c>
      <c r="E73">
        <f t="shared" si="12"/>
        <v>1.1899999999999977</v>
      </c>
      <c r="F73">
        <f t="shared" si="13"/>
        <v>0</v>
      </c>
      <c r="G73">
        <f t="shared" si="14"/>
        <v>0.22714285714285762</v>
      </c>
      <c r="H73">
        <f t="shared" si="15"/>
        <v>0.18785714285714356</v>
      </c>
      <c r="I73">
        <f t="shared" si="16"/>
        <v>1.2091254752851692</v>
      </c>
      <c r="J73">
        <f t="shared" si="17"/>
        <v>54.733218588640234</v>
      </c>
      <c r="K73">
        <v>70</v>
      </c>
      <c r="L73">
        <v>30</v>
      </c>
    </row>
    <row r="74" spans="1:12" x14ac:dyDescent="0.35">
      <c r="A74" t="s">
        <v>74</v>
      </c>
      <c r="B74">
        <v>62.18</v>
      </c>
      <c r="C74">
        <f t="shared" si="10"/>
        <v>-4.3328319409789958E-3</v>
      </c>
      <c r="D74">
        <f t="shared" si="11"/>
        <v>-0.27000000000000313</v>
      </c>
      <c r="E74">
        <f t="shared" si="12"/>
        <v>0</v>
      </c>
      <c r="F74">
        <f t="shared" si="13"/>
        <v>0.27000000000000313</v>
      </c>
      <c r="G74">
        <f t="shared" si="14"/>
        <v>0.19642857142857192</v>
      </c>
      <c r="H74">
        <f t="shared" si="15"/>
        <v>0.18785714285714356</v>
      </c>
      <c r="I74">
        <f t="shared" si="16"/>
        <v>1.0456273764258543</v>
      </c>
      <c r="J74">
        <f t="shared" si="17"/>
        <v>51.11524163568771</v>
      </c>
      <c r="K74">
        <v>70</v>
      </c>
      <c r="L74">
        <v>30</v>
      </c>
    </row>
    <row r="75" spans="1:12" x14ac:dyDescent="0.35">
      <c r="A75" t="s">
        <v>75</v>
      </c>
      <c r="B75">
        <v>62.45</v>
      </c>
      <c r="C75">
        <f t="shared" si="10"/>
        <v>4.9763326066853356E-3</v>
      </c>
      <c r="D75">
        <f t="shared" si="11"/>
        <v>0.31000000000000227</v>
      </c>
      <c r="E75">
        <f t="shared" si="12"/>
        <v>0.31000000000000227</v>
      </c>
      <c r="F75">
        <f t="shared" si="13"/>
        <v>0</v>
      </c>
      <c r="G75">
        <f t="shared" si="14"/>
        <v>0.22500000000000092</v>
      </c>
      <c r="H75">
        <f t="shared" si="15"/>
        <v>0.16857142857142904</v>
      </c>
      <c r="I75">
        <f t="shared" si="16"/>
        <v>1.3347457627118662</v>
      </c>
      <c r="J75">
        <f t="shared" si="17"/>
        <v>57.168784029038143</v>
      </c>
      <c r="K75">
        <v>70</v>
      </c>
      <c r="L75">
        <v>30</v>
      </c>
    </row>
    <row r="76" spans="1:12" x14ac:dyDescent="0.35">
      <c r="A76" t="s">
        <v>76</v>
      </c>
      <c r="B76">
        <v>62.14</v>
      </c>
      <c r="C76">
        <f t="shared" si="10"/>
        <v>1.1271235393400887E-3</v>
      </c>
      <c r="D76">
        <f t="shared" si="11"/>
        <v>7.0000000000000284E-2</v>
      </c>
      <c r="E76">
        <f t="shared" si="12"/>
        <v>7.0000000000000284E-2</v>
      </c>
      <c r="F76">
        <f t="shared" si="13"/>
        <v>0</v>
      </c>
      <c r="G76">
        <f t="shared" si="14"/>
        <v>0.25428571428571495</v>
      </c>
      <c r="H76">
        <f t="shared" si="15"/>
        <v>0.16857142857142904</v>
      </c>
      <c r="I76">
        <f t="shared" si="16"/>
        <v>1.5084745762711862</v>
      </c>
      <c r="J76">
        <f t="shared" si="17"/>
        <v>60.13513513513513</v>
      </c>
      <c r="K76">
        <v>70</v>
      </c>
      <c r="L76">
        <v>30</v>
      </c>
    </row>
    <row r="77" spans="1:12" x14ac:dyDescent="0.35">
      <c r="A77" t="s">
        <v>77</v>
      </c>
      <c r="B77">
        <v>62.07</v>
      </c>
      <c r="C77">
        <f t="shared" si="10"/>
        <v>-6.2635714293711236E-3</v>
      </c>
      <c r="D77">
        <f t="shared" si="11"/>
        <v>-0.39000000000000057</v>
      </c>
      <c r="E77">
        <f t="shared" si="12"/>
        <v>0</v>
      </c>
      <c r="F77">
        <f t="shared" si="13"/>
        <v>0.39000000000000057</v>
      </c>
      <c r="G77">
        <f t="shared" si="14"/>
        <v>0.25714285714285773</v>
      </c>
      <c r="H77">
        <f t="shared" si="15"/>
        <v>0.16857142857142904</v>
      </c>
      <c r="I77">
        <f t="shared" si="16"/>
        <v>1.5254237288135586</v>
      </c>
      <c r="J77">
        <f t="shared" si="17"/>
        <v>60.402684563758385</v>
      </c>
      <c r="K77">
        <v>70</v>
      </c>
      <c r="L77">
        <v>30</v>
      </c>
    </row>
    <row r="78" spans="1:12" x14ac:dyDescent="0.35">
      <c r="A78" t="s">
        <v>78</v>
      </c>
      <c r="B78">
        <v>62.46</v>
      </c>
      <c r="C78">
        <f t="shared" si="10"/>
        <v>1.1432376346845999E-2</v>
      </c>
      <c r="D78">
        <f t="shared" si="11"/>
        <v>0.71000000000000085</v>
      </c>
      <c r="E78">
        <f t="shared" si="12"/>
        <v>0.71000000000000085</v>
      </c>
      <c r="F78">
        <f t="shared" si="13"/>
        <v>0</v>
      </c>
      <c r="G78">
        <f t="shared" si="14"/>
        <v>0.25714285714285773</v>
      </c>
      <c r="H78">
        <f t="shared" si="15"/>
        <v>0.19714285714285751</v>
      </c>
      <c r="I78">
        <f t="shared" si="16"/>
        <v>1.304347826086957</v>
      </c>
      <c r="J78">
        <f t="shared" si="17"/>
        <v>56.603773584905667</v>
      </c>
      <c r="K78">
        <v>70</v>
      </c>
      <c r="L78">
        <v>30</v>
      </c>
    </row>
    <row r="79" spans="1:12" x14ac:dyDescent="0.35">
      <c r="A79" t="s">
        <v>79</v>
      </c>
      <c r="B79">
        <v>61.75</v>
      </c>
      <c r="C79">
        <f t="shared" si="10"/>
        <v>-2.0834086902841914E-2</v>
      </c>
      <c r="D79">
        <f t="shared" si="11"/>
        <v>-1.2999999999999972</v>
      </c>
      <c r="E79">
        <f t="shared" si="12"/>
        <v>0</v>
      </c>
      <c r="F79">
        <f t="shared" si="13"/>
        <v>1.2999999999999972</v>
      </c>
      <c r="G79">
        <f t="shared" si="14"/>
        <v>0.20642857142857199</v>
      </c>
      <c r="H79">
        <f t="shared" si="15"/>
        <v>0.22928571428571484</v>
      </c>
      <c r="I79">
        <f t="shared" si="16"/>
        <v>0.90031152647975099</v>
      </c>
      <c r="J79">
        <f t="shared" si="17"/>
        <v>47.377049180327873</v>
      </c>
      <c r="K79">
        <v>70</v>
      </c>
      <c r="L79">
        <v>30</v>
      </c>
    </row>
    <row r="80" spans="1:12" x14ac:dyDescent="0.35">
      <c r="A80" t="s">
        <v>80</v>
      </c>
      <c r="B80">
        <v>63.05</v>
      </c>
      <c r="C80">
        <f t="shared" si="10"/>
        <v>-2.059732963010616E-3</v>
      </c>
      <c r="D80">
        <f t="shared" si="11"/>
        <v>-0.13000000000000256</v>
      </c>
      <c r="E80">
        <f t="shared" si="12"/>
        <v>0</v>
      </c>
      <c r="F80">
        <f t="shared" si="13"/>
        <v>0.13000000000000256</v>
      </c>
      <c r="G80">
        <f t="shared" si="14"/>
        <v>0.20642857142857199</v>
      </c>
      <c r="H80">
        <f t="shared" si="15"/>
        <v>0.15000000000000061</v>
      </c>
      <c r="I80">
        <f t="shared" si="16"/>
        <v>1.3761904761904744</v>
      </c>
      <c r="J80">
        <f t="shared" si="17"/>
        <v>57.915831663326621</v>
      </c>
      <c r="K80">
        <v>70</v>
      </c>
      <c r="L80">
        <v>30</v>
      </c>
    </row>
    <row r="81" spans="1:12" x14ac:dyDescent="0.35">
      <c r="A81" t="s">
        <v>81</v>
      </c>
      <c r="B81">
        <v>63.18</v>
      </c>
      <c r="C81">
        <f t="shared" si="10"/>
        <v>-6.7828953167737302E-3</v>
      </c>
      <c r="D81">
        <f t="shared" si="11"/>
        <v>-0.42999999999999972</v>
      </c>
      <c r="E81">
        <f t="shared" si="12"/>
        <v>0</v>
      </c>
      <c r="F81">
        <f t="shared" si="13"/>
        <v>0.42999999999999972</v>
      </c>
      <c r="G81">
        <f t="shared" si="14"/>
        <v>0.20642857142857199</v>
      </c>
      <c r="H81">
        <f t="shared" si="15"/>
        <v>0.15214285714285783</v>
      </c>
      <c r="I81">
        <f t="shared" si="16"/>
        <v>1.3568075117370868</v>
      </c>
      <c r="J81">
        <f t="shared" si="17"/>
        <v>57.569721115537803</v>
      </c>
      <c r="K81">
        <v>70</v>
      </c>
      <c r="L81">
        <v>30</v>
      </c>
    </row>
    <row r="82" spans="1:12" x14ac:dyDescent="0.35">
      <c r="A82" t="s">
        <v>82</v>
      </c>
      <c r="B82">
        <v>63.61</v>
      </c>
      <c r="C82">
        <f t="shared" si="10"/>
        <v>2.0457950325045793E-3</v>
      </c>
      <c r="D82">
        <f t="shared" si="11"/>
        <v>0.13000000000000256</v>
      </c>
      <c r="E82">
        <f t="shared" si="12"/>
        <v>0.13000000000000256</v>
      </c>
      <c r="F82">
        <f t="shared" si="13"/>
        <v>0</v>
      </c>
      <c r="G82">
        <f t="shared" si="14"/>
        <v>0.20642857142857199</v>
      </c>
      <c r="H82">
        <f t="shared" si="15"/>
        <v>0.16071428571428623</v>
      </c>
      <c r="I82">
        <f t="shared" si="16"/>
        <v>1.2844444444444438</v>
      </c>
      <c r="J82">
        <f t="shared" si="17"/>
        <v>56.225680933852125</v>
      </c>
      <c r="K82">
        <v>70</v>
      </c>
      <c r="L82">
        <v>30</v>
      </c>
    </row>
    <row r="83" spans="1:12" x14ac:dyDescent="0.35">
      <c r="A83" t="s">
        <v>83</v>
      </c>
      <c r="B83">
        <v>63.48</v>
      </c>
      <c r="C83">
        <f t="shared" si="10"/>
        <v>-1.7313296211081824E-3</v>
      </c>
      <c r="D83">
        <f t="shared" si="11"/>
        <v>-0.11000000000000654</v>
      </c>
      <c r="E83">
        <f t="shared" si="12"/>
        <v>0</v>
      </c>
      <c r="F83">
        <f t="shared" si="13"/>
        <v>0.11000000000000654</v>
      </c>
      <c r="G83">
        <f t="shared" si="14"/>
        <v>0.21500000000000036</v>
      </c>
      <c r="H83">
        <f t="shared" si="15"/>
        <v>0.16071428571428623</v>
      </c>
      <c r="I83">
        <f t="shared" si="16"/>
        <v>1.3377777777777757</v>
      </c>
      <c r="J83">
        <f t="shared" si="17"/>
        <v>57.224334600760415</v>
      </c>
      <c r="K83">
        <v>70</v>
      </c>
      <c r="L83">
        <v>30</v>
      </c>
    </row>
    <row r="84" spans="1:12" x14ac:dyDescent="0.35">
      <c r="A84" t="s">
        <v>84</v>
      </c>
      <c r="B84">
        <v>63.59</v>
      </c>
      <c r="C84">
        <f t="shared" si="10"/>
        <v>2.5192896335107418E-3</v>
      </c>
      <c r="D84">
        <f t="shared" si="11"/>
        <v>0.16000000000000369</v>
      </c>
      <c r="E84">
        <f t="shared" si="12"/>
        <v>0.16000000000000369</v>
      </c>
      <c r="F84">
        <f t="shared" si="13"/>
        <v>0</v>
      </c>
      <c r="G84">
        <f t="shared" si="14"/>
        <v>0.21500000000000036</v>
      </c>
      <c r="H84">
        <f t="shared" si="15"/>
        <v>0.15571428571428569</v>
      </c>
      <c r="I84">
        <f t="shared" si="16"/>
        <v>1.3807339449541309</v>
      </c>
      <c r="J84">
        <f t="shared" si="17"/>
        <v>57.996146435452843</v>
      </c>
      <c r="K84">
        <v>70</v>
      </c>
      <c r="L84">
        <v>30</v>
      </c>
    </row>
    <row r="85" spans="1:12" x14ac:dyDescent="0.35">
      <c r="A85" t="s">
        <v>85</v>
      </c>
      <c r="B85">
        <v>63.43</v>
      </c>
      <c r="C85">
        <f t="shared" si="10"/>
        <v>7.2785131451544825E-3</v>
      </c>
      <c r="D85">
        <f t="shared" si="11"/>
        <v>0.46000000000000085</v>
      </c>
      <c r="E85">
        <f t="shared" si="12"/>
        <v>0.46000000000000085</v>
      </c>
      <c r="F85">
        <f t="shared" si="13"/>
        <v>0</v>
      </c>
      <c r="G85">
        <f t="shared" si="14"/>
        <v>0.20357142857142868</v>
      </c>
      <c r="H85">
        <f t="shared" si="15"/>
        <v>0.27285714285714341</v>
      </c>
      <c r="I85">
        <f t="shared" si="16"/>
        <v>0.74607329842931824</v>
      </c>
      <c r="J85">
        <f t="shared" si="17"/>
        <v>42.728635682158881</v>
      </c>
      <c r="K85">
        <v>70</v>
      </c>
      <c r="L85">
        <v>30</v>
      </c>
    </row>
    <row r="86" spans="1:12" x14ac:dyDescent="0.35">
      <c r="A86" t="s">
        <v>86</v>
      </c>
      <c r="B86">
        <v>62.97</v>
      </c>
      <c r="C86">
        <f t="shared" si="10"/>
        <v>2.3849283901508562E-3</v>
      </c>
      <c r="D86">
        <f t="shared" si="11"/>
        <v>0.14999999999999858</v>
      </c>
      <c r="E86">
        <f t="shared" si="12"/>
        <v>0.14999999999999858</v>
      </c>
      <c r="F86">
        <f t="shared" si="13"/>
        <v>0</v>
      </c>
      <c r="G86">
        <f t="shared" si="14"/>
        <v>0.18857142857142861</v>
      </c>
      <c r="H86">
        <f t="shared" si="15"/>
        <v>0.27285714285714341</v>
      </c>
      <c r="I86">
        <f t="shared" si="16"/>
        <v>0.69109947643978931</v>
      </c>
      <c r="J86">
        <f t="shared" si="17"/>
        <v>40.866873065015433</v>
      </c>
      <c r="K86">
        <v>70</v>
      </c>
      <c r="L86">
        <v>30</v>
      </c>
    </row>
    <row r="87" spans="1:12" x14ac:dyDescent="0.35">
      <c r="A87" t="s">
        <v>87</v>
      </c>
      <c r="B87">
        <v>62.82</v>
      </c>
      <c r="C87">
        <f t="shared" si="10"/>
        <v>1.2171835090266392E-2</v>
      </c>
      <c r="D87">
        <f t="shared" si="11"/>
        <v>0.75999999999999801</v>
      </c>
      <c r="E87">
        <f t="shared" si="12"/>
        <v>0.75999999999999801</v>
      </c>
      <c r="F87">
        <f t="shared" si="13"/>
        <v>0</v>
      </c>
      <c r="G87">
        <f t="shared" si="14"/>
        <v>0.18500000000000075</v>
      </c>
      <c r="H87">
        <f t="shared" si="15"/>
        <v>0.27285714285714341</v>
      </c>
      <c r="I87">
        <f t="shared" si="16"/>
        <v>0.67801047120418989</v>
      </c>
      <c r="J87">
        <f t="shared" si="17"/>
        <v>40.405616224649037</v>
      </c>
      <c r="K87">
        <v>70</v>
      </c>
      <c r="L87">
        <v>30</v>
      </c>
    </row>
    <row r="88" spans="1:12" x14ac:dyDescent="0.35">
      <c r="A88" t="s">
        <v>88</v>
      </c>
      <c r="B88">
        <v>62.06</v>
      </c>
      <c r="C88">
        <f t="shared" si="10"/>
        <v>6.4662365622299928E-3</v>
      </c>
      <c r="D88">
        <f t="shared" si="11"/>
        <v>0.40000000000000568</v>
      </c>
      <c r="E88">
        <f t="shared" si="12"/>
        <v>0.40000000000000568</v>
      </c>
      <c r="F88">
        <f t="shared" si="13"/>
        <v>0</v>
      </c>
      <c r="G88">
        <f t="shared" si="14"/>
        <v>0.13071428571428662</v>
      </c>
      <c r="H88">
        <f t="shared" si="15"/>
        <v>0.29357142857142954</v>
      </c>
      <c r="I88">
        <f t="shared" si="16"/>
        <v>0.44525547445255637</v>
      </c>
      <c r="J88">
        <f t="shared" si="17"/>
        <v>30.808080808080888</v>
      </c>
      <c r="K88">
        <v>70</v>
      </c>
      <c r="L88">
        <v>30</v>
      </c>
    </row>
    <row r="89" spans="1:12" x14ac:dyDescent="0.35">
      <c r="A89" t="s">
        <v>89</v>
      </c>
      <c r="B89">
        <v>61.66</v>
      </c>
      <c r="C89">
        <f t="shared" si="10"/>
        <v>1.1745648900441202E-2</v>
      </c>
      <c r="D89">
        <f t="shared" si="11"/>
        <v>0.71999999999999886</v>
      </c>
      <c r="E89">
        <f t="shared" si="12"/>
        <v>0.71999999999999886</v>
      </c>
      <c r="F89">
        <f t="shared" si="13"/>
        <v>0</v>
      </c>
      <c r="G89">
        <f t="shared" si="14"/>
        <v>0.10214285714285763</v>
      </c>
      <c r="H89">
        <f t="shared" si="15"/>
        <v>0.33642857142857202</v>
      </c>
      <c r="I89">
        <f t="shared" si="16"/>
        <v>0.30360934182590327</v>
      </c>
      <c r="J89">
        <f t="shared" si="17"/>
        <v>23.289902280130349</v>
      </c>
      <c r="K89">
        <v>70</v>
      </c>
      <c r="L89">
        <v>30</v>
      </c>
    </row>
    <row r="90" spans="1:12" x14ac:dyDescent="0.35">
      <c r="A90" t="s">
        <v>90</v>
      </c>
      <c r="B90">
        <v>60.94</v>
      </c>
      <c r="C90">
        <f t="shared" si="10"/>
        <v>1.8066852249490513E-3</v>
      </c>
      <c r="D90">
        <f t="shared" si="11"/>
        <v>0.10999999999999943</v>
      </c>
      <c r="E90">
        <f t="shared" si="12"/>
        <v>0.10999999999999943</v>
      </c>
      <c r="F90">
        <f t="shared" si="13"/>
        <v>0</v>
      </c>
      <c r="G90">
        <f t="shared" si="14"/>
        <v>7.5714285714285873E-2</v>
      </c>
      <c r="H90">
        <f t="shared" si="15"/>
        <v>0.33642857142857202</v>
      </c>
      <c r="I90">
        <f t="shared" si="16"/>
        <v>0.22505307855626333</v>
      </c>
      <c r="J90">
        <f t="shared" si="17"/>
        <v>18.370883882149045</v>
      </c>
      <c r="K90">
        <v>70</v>
      </c>
      <c r="L90">
        <v>30</v>
      </c>
    </row>
    <row r="91" spans="1:12" x14ac:dyDescent="0.35">
      <c r="A91" t="s">
        <v>91</v>
      </c>
      <c r="B91">
        <v>60.83</v>
      </c>
      <c r="C91">
        <f t="shared" si="10"/>
        <v>-1.2903404835907841E-2</v>
      </c>
      <c r="D91">
        <f t="shared" si="11"/>
        <v>-0.78999999999999915</v>
      </c>
      <c r="E91">
        <f t="shared" si="12"/>
        <v>0</v>
      </c>
      <c r="F91">
        <f t="shared" si="13"/>
        <v>0.78999999999999915</v>
      </c>
      <c r="G91">
        <f t="shared" si="14"/>
        <v>6.785714285714306E-2</v>
      </c>
      <c r="H91">
        <f t="shared" si="15"/>
        <v>0.41428571428571509</v>
      </c>
      <c r="I91">
        <f t="shared" si="16"/>
        <v>0.16379310344827602</v>
      </c>
      <c r="J91">
        <f t="shared" si="17"/>
        <v>14.07407407407409</v>
      </c>
      <c r="K91">
        <v>70</v>
      </c>
      <c r="L91">
        <v>30</v>
      </c>
    </row>
    <row r="92" spans="1:12" x14ac:dyDescent="0.35">
      <c r="A92" t="s">
        <v>92</v>
      </c>
      <c r="B92">
        <v>61.62</v>
      </c>
      <c r="C92">
        <f t="shared" si="10"/>
        <v>-7.2762872570395539E-3</v>
      </c>
      <c r="D92">
        <f t="shared" si="11"/>
        <v>-0.45000000000000284</v>
      </c>
      <c r="E92">
        <f t="shared" si="12"/>
        <v>0</v>
      </c>
      <c r="F92">
        <f t="shared" si="13"/>
        <v>0.45000000000000284</v>
      </c>
      <c r="G92">
        <f t="shared" si="14"/>
        <v>6.785714285714306E-2</v>
      </c>
      <c r="H92">
        <f t="shared" si="15"/>
        <v>0.37571428571428661</v>
      </c>
      <c r="I92">
        <f t="shared" si="16"/>
        <v>0.18060836501901151</v>
      </c>
      <c r="J92">
        <f t="shared" si="17"/>
        <v>15.297906602254443</v>
      </c>
      <c r="K92">
        <v>70</v>
      </c>
      <c r="L92">
        <v>30</v>
      </c>
    </row>
    <row r="93" spans="1:12" x14ac:dyDescent="0.35">
      <c r="A93" t="s">
        <v>93</v>
      </c>
      <c r="B93">
        <v>62.07</v>
      </c>
      <c r="C93">
        <f t="shared" si="10"/>
        <v>-3.0563845879007473E-3</v>
      </c>
      <c r="D93">
        <f t="shared" si="11"/>
        <v>-0.18999999999999773</v>
      </c>
      <c r="E93">
        <f t="shared" si="12"/>
        <v>0</v>
      </c>
      <c r="F93">
        <f t="shared" si="13"/>
        <v>0.18999999999999773</v>
      </c>
      <c r="G93">
        <f t="shared" si="14"/>
        <v>6.785714285714306E-2</v>
      </c>
      <c r="H93">
        <f t="shared" si="15"/>
        <v>0.37</v>
      </c>
      <c r="I93">
        <f t="shared" si="16"/>
        <v>0.18339768339768395</v>
      </c>
      <c r="J93">
        <f t="shared" si="17"/>
        <v>15.497553017944583</v>
      </c>
      <c r="K93">
        <v>70</v>
      </c>
      <c r="L93">
        <v>30</v>
      </c>
    </row>
    <row r="94" spans="1:12" x14ac:dyDescent="0.35">
      <c r="A94" t="s">
        <v>94</v>
      </c>
      <c r="B94">
        <v>62.26</v>
      </c>
      <c r="C94">
        <f t="shared" si="10"/>
        <v>-2.5665718291712891E-3</v>
      </c>
      <c r="D94">
        <f t="shared" si="11"/>
        <v>-0.16000000000000369</v>
      </c>
      <c r="E94">
        <f t="shared" si="12"/>
        <v>0</v>
      </c>
      <c r="F94">
        <f t="shared" si="13"/>
        <v>0.16000000000000369</v>
      </c>
      <c r="G94">
        <f t="shared" si="14"/>
        <v>6.785714285714306E-2</v>
      </c>
      <c r="H94">
        <f t="shared" si="15"/>
        <v>0.40642857142857175</v>
      </c>
      <c r="I94">
        <f t="shared" si="16"/>
        <v>0.16695957820738175</v>
      </c>
      <c r="J94">
        <f t="shared" si="17"/>
        <v>14.307228915662691</v>
      </c>
      <c r="K94">
        <v>70</v>
      </c>
      <c r="L94">
        <v>30</v>
      </c>
    </row>
    <row r="95" spans="1:12" x14ac:dyDescent="0.35">
      <c r="A95" t="s">
        <v>95</v>
      </c>
      <c r="B95">
        <v>62.42</v>
      </c>
      <c r="C95">
        <f t="shared" si="10"/>
        <v>-8.7726856580178821E-3</v>
      </c>
      <c r="D95">
        <f t="shared" si="11"/>
        <v>-0.54999999999999716</v>
      </c>
      <c r="E95">
        <f t="shared" si="12"/>
        <v>0</v>
      </c>
      <c r="F95">
        <f t="shared" si="13"/>
        <v>0.54999999999999716</v>
      </c>
      <c r="G95">
        <f t="shared" si="14"/>
        <v>6.785714285714306E-2</v>
      </c>
      <c r="H95">
        <f t="shared" si="15"/>
        <v>0.49642857142857161</v>
      </c>
      <c r="I95">
        <f t="shared" si="16"/>
        <v>0.13669064748201476</v>
      </c>
      <c r="J95">
        <f t="shared" si="17"/>
        <v>12.025316455696242</v>
      </c>
      <c r="K95">
        <v>70</v>
      </c>
      <c r="L95">
        <v>30</v>
      </c>
    </row>
    <row r="96" spans="1:12" x14ac:dyDescent="0.35">
      <c r="A96" t="s">
        <v>96</v>
      </c>
      <c r="B96">
        <v>62.97</v>
      </c>
      <c r="C96">
        <f t="shared" si="10"/>
        <v>3.9780464584988854E-3</v>
      </c>
      <c r="D96">
        <f t="shared" si="11"/>
        <v>0.25</v>
      </c>
      <c r="E96">
        <f t="shared" si="12"/>
        <v>0.25</v>
      </c>
      <c r="F96">
        <f t="shared" si="13"/>
        <v>0</v>
      </c>
      <c r="G96">
        <f t="shared" si="14"/>
        <v>6.785714285714306E-2</v>
      </c>
      <c r="H96">
        <f t="shared" si="15"/>
        <v>0.45714285714285757</v>
      </c>
      <c r="I96">
        <f t="shared" si="16"/>
        <v>0.14843750000000031</v>
      </c>
      <c r="J96">
        <f t="shared" si="17"/>
        <v>12.925170068027228</v>
      </c>
      <c r="K96">
        <v>70</v>
      </c>
      <c r="L96">
        <v>30</v>
      </c>
    </row>
    <row r="97" spans="1:12" x14ac:dyDescent="0.35">
      <c r="A97" t="s">
        <v>97</v>
      </c>
      <c r="B97">
        <v>62.72</v>
      </c>
      <c r="C97">
        <f t="shared" si="10"/>
        <v>-6.3755182267942923E-4</v>
      </c>
      <c r="D97">
        <f t="shared" si="11"/>
        <v>-3.9999999999999147E-2</v>
      </c>
      <c r="E97">
        <f t="shared" si="12"/>
        <v>0</v>
      </c>
      <c r="F97">
        <f t="shared" si="13"/>
        <v>3.9999999999999147E-2</v>
      </c>
      <c r="G97">
        <f t="shared" si="14"/>
        <v>5.0000000000000204E-2</v>
      </c>
      <c r="H97">
        <f t="shared" si="15"/>
        <v>0.5271428571428578</v>
      </c>
      <c r="I97">
        <f t="shared" si="16"/>
        <v>9.4850948509485361E-2</v>
      </c>
      <c r="J97">
        <f t="shared" si="17"/>
        <v>8.6633663366336719</v>
      </c>
      <c r="K97">
        <v>70</v>
      </c>
      <c r="L97">
        <v>30</v>
      </c>
    </row>
    <row r="98" spans="1:12" x14ac:dyDescent="0.35">
      <c r="A98" t="s">
        <v>98</v>
      </c>
      <c r="B98">
        <v>62.76</v>
      </c>
      <c r="C98">
        <f t="shared" ref="C98:C129" si="18">LN(B98/B99)</f>
        <v>-2.5795705245476263E-2</v>
      </c>
      <c r="D98">
        <f t="shared" ref="D98:D129" si="19" xml:space="preserve"> B98 - B99</f>
        <v>-1.6400000000000077</v>
      </c>
      <c r="E98">
        <f t="shared" si="12"/>
        <v>0</v>
      </c>
      <c r="F98">
        <f t="shared" si="13"/>
        <v>1.6400000000000077</v>
      </c>
      <c r="G98">
        <f t="shared" si="14"/>
        <v>8.7857142857143147E-2</v>
      </c>
      <c r="H98">
        <f t="shared" si="15"/>
        <v>0.52428571428571502</v>
      </c>
      <c r="I98">
        <f t="shared" si="16"/>
        <v>0.1675749318801093</v>
      </c>
      <c r="J98">
        <f t="shared" si="17"/>
        <v>14.352392065344233</v>
      </c>
      <c r="K98">
        <v>70</v>
      </c>
      <c r="L98">
        <v>30</v>
      </c>
    </row>
    <row r="99" spans="1:12" x14ac:dyDescent="0.35">
      <c r="A99" t="s">
        <v>99</v>
      </c>
      <c r="B99">
        <v>64.400000000000006</v>
      </c>
      <c r="C99">
        <f t="shared" si="18"/>
        <v>3.8895420486625529E-3</v>
      </c>
      <c r="D99">
        <f t="shared" si="19"/>
        <v>0.25</v>
      </c>
      <c r="E99">
        <f t="shared" si="12"/>
        <v>0.25</v>
      </c>
      <c r="F99">
        <f t="shared" si="13"/>
        <v>0</v>
      </c>
      <c r="G99">
        <f t="shared" si="14"/>
        <v>8.7857142857143147E-2</v>
      </c>
      <c r="H99">
        <f t="shared" si="15"/>
        <v>0.45428571428571424</v>
      </c>
      <c r="I99">
        <f t="shared" si="16"/>
        <v>0.19339622641509499</v>
      </c>
      <c r="J99">
        <f t="shared" si="17"/>
        <v>16.205533596837995</v>
      </c>
      <c r="K99">
        <v>70</v>
      </c>
      <c r="L99">
        <v>30</v>
      </c>
    </row>
    <row r="100" spans="1:12" x14ac:dyDescent="0.35">
      <c r="A100" t="s">
        <v>100</v>
      </c>
      <c r="B100">
        <v>64.150000000000006</v>
      </c>
      <c r="C100">
        <f t="shared" si="18"/>
        <v>1.560062718902406E-3</v>
      </c>
      <c r="D100">
        <f t="shared" si="19"/>
        <v>0.10000000000000853</v>
      </c>
      <c r="E100">
        <f t="shared" si="12"/>
        <v>0.10000000000000853</v>
      </c>
      <c r="F100">
        <f t="shared" si="13"/>
        <v>0</v>
      </c>
      <c r="G100">
        <f t="shared" si="14"/>
        <v>8.6428571428571993E-2</v>
      </c>
      <c r="H100">
        <f t="shared" si="15"/>
        <v>0.45428571428571424</v>
      </c>
      <c r="I100">
        <f t="shared" si="16"/>
        <v>0.19025157232704529</v>
      </c>
      <c r="J100">
        <f t="shared" si="17"/>
        <v>15.984147952443948</v>
      </c>
      <c r="K100">
        <v>70</v>
      </c>
      <c r="L100">
        <v>30</v>
      </c>
    </row>
    <row r="101" spans="1:12" x14ac:dyDescent="0.35">
      <c r="A101" t="s">
        <v>101</v>
      </c>
      <c r="B101">
        <v>64.05</v>
      </c>
      <c r="C101">
        <f t="shared" si="18"/>
        <v>-4.5174934681371046E-3</v>
      </c>
      <c r="D101">
        <f t="shared" si="19"/>
        <v>-0.29000000000000625</v>
      </c>
      <c r="E101">
        <f t="shared" si="12"/>
        <v>0</v>
      </c>
      <c r="F101">
        <f t="shared" si="13"/>
        <v>0.29000000000000625</v>
      </c>
      <c r="G101">
        <f t="shared" si="14"/>
        <v>7.9285714285714251E-2</v>
      </c>
      <c r="H101">
        <f t="shared" si="15"/>
        <v>0.45428571428571424</v>
      </c>
      <c r="I101">
        <f t="shared" si="16"/>
        <v>0.17452830188679239</v>
      </c>
      <c r="J101">
        <f t="shared" si="17"/>
        <v>14.859437751004023</v>
      </c>
      <c r="K101">
        <v>70</v>
      </c>
      <c r="L101">
        <v>30</v>
      </c>
    </row>
    <row r="102" spans="1:12" x14ac:dyDescent="0.35">
      <c r="A102" t="s">
        <v>102</v>
      </c>
      <c r="B102">
        <v>64.34</v>
      </c>
      <c r="C102">
        <f t="shared" si="18"/>
        <v>-9.2822448638194971E-3</v>
      </c>
      <c r="D102">
        <f t="shared" si="19"/>
        <v>-0.59999999999999432</v>
      </c>
      <c r="E102">
        <f t="shared" si="12"/>
        <v>0</v>
      </c>
      <c r="F102">
        <f t="shared" si="13"/>
        <v>0.59999999999999432</v>
      </c>
      <c r="G102">
        <f t="shared" si="14"/>
        <v>0.13357142857142787</v>
      </c>
      <c r="H102">
        <f t="shared" si="15"/>
        <v>0.43357142857142811</v>
      </c>
      <c r="I102">
        <f t="shared" si="16"/>
        <v>0.30807248764415029</v>
      </c>
      <c r="J102">
        <f t="shared" si="17"/>
        <v>23.551637279596903</v>
      </c>
      <c r="K102">
        <v>70</v>
      </c>
      <c r="L102">
        <v>30</v>
      </c>
    </row>
    <row r="103" spans="1:12" x14ac:dyDescent="0.35">
      <c r="A103" t="s">
        <v>103</v>
      </c>
      <c r="B103">
        <v>64.94</v>
      </c>
      <c r="C103">
        <f t="shared" si="18"/>
        <v>5.4041666303184287E-3</v>
      </c>
      <c r="D103">
        <f t="shared" si="19"/>
        <v>0.34999999999999432</v>
      </c>
      <c r="E103">
        <f t="shared" si="12"/>
        <v>0.34999999999999432</v>
      </c>
      <c r="F103">
        <f t="shared" si="13"/>
        <v>0</v>
      </c>
      <c r="G103">
        <f t="shared" si="14"/>
        <v>0.15571428571428519</v>
      </c>
      <c r="H103">
        <f t="shared" si="15"/>
        <v>0.39071428571428563</v>
      </c>
      <c r="I103">
        <f t="shared" si="16"/>
        <v>0.39853747714807919</v>
      </c>
      <c r="J103">
        <f t="shared" si="17"/>
        <v>28.496732026143732</v>
      </c>
      <c r="K103">
        <v>70</v>
      </c>
      <c r="L103">
        <v>30</v>
      </c>
    </row>
    <row r="104" spans="1:12" x14ac:dyDescent="0.35">
      <c r="A104" t="s">
        <v>104</v>
      </c>
      <c r="B104">
        <v>64.59</v>
      </c>
      <c r="C104">
        <f t="shared" si="18"/>
        <v>-1.673486509979151E-2</v>
      </c>
      <c r="D104">
        <f t="shared" si="19"/>
        <v>-1.0900000000000034</v>
      </c>
      <c r="E104">
        <f t="shared" si="12"/>
        <v>0</v>
      </c>
      <c r="F104">
        <f t="shared" si="13"/>
        <v>1.0900000000000034</v>
      </c>
      <c r="G104">
        <f t="shared" si="14"/>
        <v>0.13071428571428559</v>
      </c>
      <c r="H104">
        <f t="shared" si="15"/>
        <v>0.41285714285714292</v>
      </c>
      <c r="I104">
        <f t="shared" si="16"/>
        <v>0.31660899653979202</v>
      </c>
      <c r="J104">
        <f t="shared" si="17"/>
        <v>24.047306176084078</v>
      </c>
      <c r="K104">
        <v>70</v>
      </c>
      <c r="L104">
        <v>30</v>
      </c>
    </row>
    <row r="105" spans="1:12" x14ac:dyDescent="0.35">
      <c r="A105" t="s">
        <v>105</v>
      </c>
      <c r="B105">
        <v>65.680000000000007</v>
      </c>
      <c r="C105">
        <f t="shared" si="18"/>
        <v>-3.7991079810355457E-3</v>
      </c>
      <c r="D105">
        <f t="shared" si="19"/>
        <v>-0.25</v>
      </c>
      <c r="E105">
        <f t="shared" si="12"/>
        <v>0</v>
      </c>
      <c r="F105">
        <f t="shared" si="13"/>
        <v>0.25</v>
      </c>
      <c r="G105">
        <f t="shared" si="14"/>
        <v>0.15785714285714342</v>
      </c>
      <c r="H105">
        <f t="shared" si="15"/>
        <v>0.33499999999999985</v>
      </c>
      <c r="I105">
        <f t="shared" si="16"/>
        <v>0.47121535181236862</v>
      </c>
      <c r="J105">
        <f t="shared" si="17"/>
        <v>32.02898550724646</v>
      </c>
      <c r="K105">
        <v>70</v>
      </c>
      <c r="L105">
        <v>30</v>
      </c>
    </row>
    <row r="106" spans="1:12" x14ac:dyDescent="0.35">
      <c r="A106" t="s">
        <v>106</v>
      </c>
      <c r="B106">
        <v>65.930000000000007</v>
      </c>
      <c r="C106">
        <f t="shared" si="18"/>
        <v>-5.5963240666084078E-3</v>
      </c>
      <c r="D106">
        <f t="shared" si="19"/>
        <v>-0.36999999999999034</v>
      </c>
      <c r="E106">
        <f t="shared" si="12"/>
        <v>0</v>
      </c>
      <c r="F106">
        <f t="shared" si="13"/>
        <v>0.36999999999999034</v>
      </c>
      <c r="G106">
        <f t="shared" si="14"/>
        <v>0.17000000000000068</v>
      </c>
      <c r="H106">
        <f t="shared" si="15"/>
        <v>0.317142857142857</v>
      </c>
      <c r="I106">
        <f t="shared" si="16"/>
        <v>0.53603603603603844</v>
      </c>
      <c r="J106">
        <f t="shared" si="17"/>
        <v>34.89736070381241</v>
      </c>
      <c r="K106">
        <v>70</v>
      </c>
      <c r="L106">
        <v>30</v>
      </c>
    </row>
    <row r="107" spans="1:12" x14ac:dyDescent="0.35">
      <c r="A107" t="s">
        <v>107</v>
      </c>
      <c r="B107">
        <v>66.3</v>
      </c>
      <c r="C107">
        <f t="shared" si="18"/>
        <v>-1.0502722199149288E-2</v>
      </c>
      <c r="D107">
        <f t="shared" si="19"/>
        <v>-0.70000000000000284</v>
      </c>
      <c r="E107">
        <f t="shared" si="12"/>
        <v>0</v>
      </c>
      <c r="F107">
        <f t="shared" si="13"/>
        <v>0.70000000000000284</v>
      </c>
      <c r="G107">
        <f t="shared" si="14"/>
        <v>0.17000000000000068</v>
      </c>
      <c r="H107">
        <f t="shared" si="15"/>
        <v>0.37214285714285772</v>
      </c>
      <c r="I107">
        <f t="shared" si="16"/>
        <v>0.45681381957773626</v>
      </c>
      <c r="J107">
        <f t="shared" si="17"/>
        <v>31.357048748353151</v>
      </c>
      <c r="K107">
        <v>70</v>
      </c>
      <c r="L107">
        <v>30</v>
      </c>
    </row>
    <row r="108" spans="1:12" x14ac:dyDescent="0.35">
      <c r="A108" t="s">
        <v>108</v>
      </c>
      <c r="B108">
        <v>67</v>
      </c>
      <c r="C108">
        <f t="shared" si="18"/>
        <v>-2.0972560158492585E-2</v>
      </c>
      <c r="D108">
        <f t="shared" si="19"/>
        <v>-1.4200000000000017</v>
      </c>
      <c r="E108">
        <f t="shared" si="12"/>
        <v>0</v>
      </c>
      <c r="F108">
        <f t="shared" si="13"/>
        <v>1.4200000000000017</v>
      </c>
      <c r="G108">
        <f t="shared" si="14"/>
        <v>0.17000000000000068</v>
      </c>
      <c r="H108">
        <f t="shared" si="15"/>
        <v>0.34714285714285814</v>
      </c>
      <c r="I108">
        <f t="shared" si="16"/>
        <v>0.48971193415637915</v>
      </c>
      <c r="J108">
        <f t="shared" si="17"/>
        <v>32.872928176795611</v>
      </c>
      <c r="K108">
        <v>70</v>
      </c>
      <c r="L108">
        <v>30</v>
      </c>
    </row>
    <row r="109" spans="1:12" x14ac:dyDescent="0.35">
      <c r="A109" t="s">
        <v>109</v>
      </c>
      <c r="B109">
        <v>68.42</v>
      </c>
      <c r="C109">
        <f t="shared" si="18"/>
        <v>0</v>
      </c>
      <c r="D109">
        <f t="shared" si="19"/>
        <v>0</v>
      </c>
      <c r="E109">
        <f t="shared" si="12"/>
        <v>0</v>
      </c>
      <c r="F109">
        <f t="shared" si="13"/>
        <v>0</v>
      </c>
      <c r="G109">
        <f t="shared" si="14"/>
        <v>0.17000000000000068</v>
      </c>
      <c r="H109">
        <f t="shared" si="15"/>
        <v>0.28000000000000014</v>
      </c>
      <c r="I109">
        <f t="shared" si="16"/>
        <v>0.60714285714285932</v>
      </c>
      <c r="J109">
        <f t="shared" si="17"/>
        <v>37.777777777777864</v>
      </c>
      <c r="K109">
        <v>70</v>
      </c>
      <c r="L109">
        <v>30</v>
      </c>
    </row>
    <row r="110" spans="1:12" x14ac:dyDescent="0.35">
      <c r="A110" t="s">
        <v>110</v>
      </c>
      <c r="B110">
        <v>68.42</v>
      </c>
      <c r="C110">
        <f t="shared" si="18"/>
        <v>-1.4221687963300225E-2</v>
      </c>
      <c r="D110">
        <f t="shared" si="19"/>
        <v>-0.98000000000000398</v>
      </c>
      <c r="E110">
        <f t="shared" si="12"/>
        <v>0</v>
      </c>
      <c r="F110">
        <f t="shared" si="13"/>
        <v>0.98000000000000398</v>
      </c>
      <c r="G110">
        <f t="shared" si="14"/>
        <v>0.17000000000000068</v>
      </c>
      <c r="H110">
        <f t="shared" si="15"/>
        <v>0.32928571428571524</v>
      </c>
      <c r="I110">
        <f t="shared" si="16"/>
        <v>0.51626898047722403</v>
      </c>
      <c r="J110">
        <f t="shared" si="17"/>
        <v>34.048640915593737</v>
      </c>
      <c r="K110">
        <v>70</v>
      </c>
      <c r="L110">
        <v>30</v>
      </c>
    </row>
    <row r="111" spans="1:12" x14ac:dyDescent="0.35">
      <c r="A111" t="s">
        <v>111</v>
      </c>
      <c r="B111">
        <v>69.400000000000006</v>
      </c>
      <c r="C111">
        <f t="shared" si="18"/>
        <v>7.6661979561519272E-3</v>
      </c>
      <c r="D111">
        <f t="shared" si="19"/>
        <v>0.53000000000000114</v>
      </c>
      <c r="E111">
        <f t="shared" si="12"/>
        <v>0.53000000000000114</v>
      </c>
      <c r="F111">
        <f t="shared" si="13"/>
        <v>0</v>
      </c>
      <c r="G111">
        <f t="shared" si="14"/>
        <v>0.17000000000000068</v>
      </c>
      <c r="H111">
        <f t="shared" si="15"/>
        <v>0.27000000000000007</v>
      </c>
      <c r="I111">
        <f t="shared" si="16"/>
        <v>0.62962962962963198</v>
      </c>
      <c r="J111">
        <f t="shared" si="17"/>
        <v>38.636363636363726</v>
      </c>
      <c r="K111">
        <v>70</v>
      </c>
      <c r="L111">
        <v>30</v>
      </c>
    </row>
    <row r="112" spans="1:12" x14ac:dyDescent="0.35">
      <c r="A112" t="s">
        <v>112</v>
      </c>
      <c r="B112">
        <v>68.87</v>
      </c>
      <c r="C112">
        <f t="shared" si="18"/>
        <v>-9.5376445543195864E-3</v>
      </c>
      <c r="D112">
        <f t="shared" si="19"/>
        <v>-0.65999999999999659</v>
      </c>
      <c r="E112">
        <f t="shared" si="12"/>
        <v>0</v>
      </c>
      <c r="F112">
        <f t="shared" si="13"/>
        <v>0.65999999999999659</v>
      </c>
      <c r="G112">
        <f t="shared" si="14"/>
        <v>0.13714285714285726</v>
      </c>
      <c r="H112">
        <f t="shared" si="15"/>
        <v>0.27000000000000007</v>
      </c>
      <c r="I112">
        <f t="shared" si="16"/>
        <v>0.50793650793650824</v>
      </c>
      <c r="J112">
        <f t="shared" si="17"/>
        <v>33.684210526315809</v>
      </c>
      <c r="K112">
        <v>70</v>
      </c>
      <c r="L112">
        <v>30</v>
      </c>
    </row>
    <row r="113" spans="1:12" x14ac:dyDescent="0.35">
      <c r="A113" t="s">
        <v>113</v>
      </c>
      <c r="B113">
        <v>69.53</v>
      </c>
      <c r="C113">
        <f t="shared" si="18"/>
        <v>3.3134079150689789E-3</v>
      </c>
      <c r="D113">
        <f t="shared" si="19"/>
        <v>0.23000000000000398</v>
      </c>
      <c r="E113">
        <f t="shared" si="12"/>
        <v>0.23000000000000398</v>
      </c>
      <c r="F113">
        <f t="shared" si="13"/>
        <v>0</v>
      </c>
      <c r="G113">
        <f t="shared" si="14"/>
        <v>0.16500000000000017</v>
      </c>
      <c r="H113">
        <f t="shared" si="15"/>
        <v>0.22285714285714317</v>
      </c>
      <c r="I113">
        <f t="shared" si="16"/>
        <v>0.74038461538461509</v>
      </c>
      <c r="J113">
        <f t="shared" si="17"/>
        <v>42.541436464088385</v>
      </c>
      <c r="K113">
        <v>70</v>
      </c>
      <c r="L113">
        <v>30</v>
      </c>
    </row>
    <row r="114" spans="1:12" x14ac:dyDescent="0.35">
      <c r="A114" t="s">
        <v>114</v>
      </c>
      <c r="B114">
        <v>69.3</v>
      </c>
      <c r="C114">
        <f t="shared" si="18"/>
        <v>0</v>
      </c>
      <c r="D114">
        <f t="shared" si="19"/>
        <v>0</v>
      </c>
      <c r="E114">
        <f t="shared" si="12"/>
        <v>0</v>
      </c>
      <c r="F114">
        <f t="shared" si="13"/>
        <v>0</v>
      </c>
      <c r="G114">
        <f t="shared" si="14"/>
        <v>0.14857142857142844</v>
      </c>
      <c r="H114">
        <f t="shared" si="15"/>
        <v>0.22642857142857156</v>
      </c>
      <c r="I114">
        <f t="shared" si="16"/>
        <v>0.65615141955835865</v>
      </c>
      <c r="J114">
        <f t="shared" si="17"/>
        <v>39.619047619047585</v>
      </c>
      <c r="K114">
        <v>70</v>
      </c>
      <c r="L114">
        <v>30</v>
      </c>
    </row>
    <row r="115" spans="1:12" x14ac:dyDescent="0.35">
      <c r="A115" t="s">
        <v>115</v>
      </c>
      <c r="B115">
        <v>69.3</v>
      </c>
      <c r="C115">
        <f t="shared" si="18"/>
        <v>1.1027389749394635E-2</v>
      </c>
      <c r="D115">
        <f t="shared" si="19"/>
        <v>0.75999999999999091</v>
      </c>
      <c r="E115">
        <f t="shared" si="12"/>
        <v>0.75999999999999091</v>
      </c>
      <c r="F115">
        <f t="shared" si="13"/>
        <v>0</v>
      </c>
      <c r="G115">
        <f t="shared" si="14"/>
        <v>0.15714285714285733</v>
      </c>
      <c r="H115">
        <f t="shared" si="15"/>
        <v>0.22642857142857156</v>
      </c>
      <c r="I115">
        <f t="shared" si="16"/>
        <v>0.69400630914826544</v>
      </c>
      <c r="J115">
        <f t="shared" si="17"/>
        <v>40.968342644320316</v>
      </c>
      <c r="K115">
        <v>70</v>
      </c>
      <c r="L115">
        <v>30</v>
      </c>
    </row>
    <row r="116" spans="1:12" x14ac:dyDescent="0.35">
      <c r="A116" t="s">
        <v>116</v>
      </c>
      <c r="B116">
        <v>68.540000000000006</v>
      </c>
      <c r="C116">
        <f t="shared" si="18"/>
        <v>4.5331656191306179E-3</v>
      </c>
      <c r="D116">
        <f t="shared" si="19"/>
        <v>0.31000000000000227</v>
      </c>
      <c r="E116">
        <f t="shared" si="12"/>
        <v>0.31000000000000227</v>
      </c>
      <c r="F116">
        <f t="shared" si="13"/>
        <v>0</v>
      </c>
      <c r="G116">
        <f t="shared" si="14"/>
        <v>0.10285714285714372</v>
      </c>
      <c r="H116">
        <f t="shared" si="15"/>
        <v>0.2550000000000005</v>
      </c>
      <c r="I116">
        <f t="shared" si="16"/>
        <v>0.40336134453781769</v>
      </c>
      <c r="J116">
        <f t="shared" si="17"/>
        <v>28.742514970060014</v>
      </c>
      <c r="K116">
        <v>70</v>
      </c>
      <c r="L116">
        <v>30</v>
      </c>
    </row>
    <row r="117" spans="1:12" x14ac:dyDescent="0.35">
      <c r="A117" t="s">
        <v>117</v>
      </c>
      <c r="B117">
        <v>68.23</v>
      </c>
      <c r="C117">
        <f t="shared" si="18"/>
        <v>-4.5331656191305147E-3</v>
      </c>
      <c r="D117">
        <f t="shared" si="19"/>
        <v>-0.31000000000000227</v>
      </c>
      <c r="E117">
        <f t="shared" si="12"/>
        <v>0</v>
      </c>
      <c r="F117">
        <f t="shared" si="13"/>
        <v>0.31000000000000227</v>
      </c>
      <c r="G117">
        <f t="shared" si="14"/>
        <v>8.7142857142858077E-2</v>
      </c>
      <c r="H117">
        <f t="shared" si="15"/>
        <v>0.2550000000000005</v>
      </c>
      <c r="I117">
        <f t="shared" si="16"/>
        <v>0.34173669467787415</v>
      </c>
      <c r="J117">
        <f t="shared" si="17"/>
        <v>25.469728601252783</v>
      </c>
      <c r="K117">
        <v>70</v>
      </c>
      <c r="L117">
        <v>30</v>
      </c>
    </row>
    <row r="118" spans="1:12" x14ac:dyDescent="0.35">
      <c r="A118" t="s">
        <v>118</v>
      </c>
      <c r="B118">
        <v>68.540000000000006</v>
      </c>
      <c r="C118">
        <f t="shared" si="18"/>
        <v>5.5596339254026855E-3</v>
      </c>
      <c r="D118">
        <f t="shared" si="19"/>
        <v>0.38000000000000966</v>
      </c>
      <c r="E118">
        <f t="shared" si="12"/>
        <v>0.38000000000000966</v>
      </c>
      <c r="F118">
        <f t="shared" si="13"/>
        <v>0</v>
      </c>
      <c r="G118">
        <f t="shared" si="14"/>
        <v>0.15928571428571558</v>
      </c>
      <c r="H118">
        <f t="shared" si="15"/>
        <v>0.23285714285714323</v>
      </c>
      <c r="I118">
        <f t="shared" si="16"/>
        <v>0.68404907975460572</v>
      </c>
      <c r="J118">
        <f t="shared" si="17"/>
        <v>40.619307832422741</v>
      </c>
      <c r="K118">
        <v>70</v>
      </c>
      <c r="L118">
        <v>30</v>
      </c>
    </row>
    <row r="119" spans="1:12" x14ac:dyDescent="0.35">
      <c r="A119" t="s">
        <v>119</v>
      </c>
      <c r="B119">
        <v>68.16</v>
      </c>
      <c r="C119">
        <f t="shared" si="18"/>
        <v>2.4972469826921029E-3</v>
      </c>
      <c r="D119">
        <f t="shared" si="19"/>
        <v>0.17000000000000171</v>
      </c>
      <c r="E119">
        <f t="shared" si="12"/>
        <v>0.17000000000000171</v>
      </c>
      <c r="F119">
        <f t="shared" si="13"/>
        <v>0</v>
      </c>
      <c r="G119">
        <f t="shared" si="14"/>
        <v>0.13214285714285776</v>
      </c>
      <c r="H119">
        <f t="shared" si="15"/>
        <v>0.31285714285714356</v>
      </c>
      <c r="I119">
        <f t="shared" si="16"/>
        <v>0.4223744292237453</v>
      </c>
      <c r="J119">
        <f t="shared" si="17"/>
        <v>29.695024077046597</v>
      </c>
      <c r="K119">
        <v>70</v>
      </c>
      <c r="L119">
        <v>30</v>
      </c>
    </row>
    <row r="120" spans="1:12" x14ac:dyDescent="0.35">
      <c r="A120" t="s">
        <v>120</v>
      </c>
      <c r="B120">
        <v>67.989999999999995</v>
      </c>
      <c r="C120">
        <f t="shared" si="18"/>
        <v>-1.6628154418805323E-2</v>
      </c>
      <c r="D120">
        <f t="shared" si="19"/>
        <v>-1.1400000000000006</v>
      </c>
      <c r="E120">
        <f t="shared" si="12"/>
        <v>0</v>
      </c>
      <c r="F120">
        <f t="shared" si="13"/>
        <v>1.1400000000000006</v>
      </c>
      <c r="G120">
        <f t="shared" si="14"/>
        <v>0.12000000000000048</v>
      </c>
      <c r="H120">
        <f t="shared" si="15"/>
        <v>0.31642857142857189</v>
      </c>
      <c r="I120">
        <f t="shared" si="16"/>
        <v>0.37923250564334182</v>
      </c>
      <c r="J120">
        <f t="shared" si="17"/>
        <v>27.495908346972229</v>
      </c>
      <c r="K120">
        <v>70</v>
      </c>
      <c r="L120">
        <v>30</v>
      </c>
    </row>
    <row r="121" spans="1:12" x14ac:dyDescent="0.35">
      <c r="A121" t="s">
        <v>121</v>
      </c>
      <c r="B121">
        <v>69.13</v>
      </c>
      <c r="C121">
        <f t="shared" si="18"/>
        <v>-5.0501514157306167E-3</v>
      </c>
      <c r="D121">
        <f t="shared" si="19"/>
        <v>-0.35000000000000853</v>
      </c>
      <c r="E121">
        <f t="shared" si="12"/>
        <v>0</v>
      </c>
      <c r="F121">
        <f t="shared" si="13"/>
        <v>0.35000000000000853</v>
      </c>
      <c r="G121">
        <f t="shared" si="14"/>
        <v>0.12000000000000048</v>
      </c>
      <c r="H121">
        <f t="shared" si="15"/>
        <v>0.25571428571428662</v>
      </c>
      <c r="I121">
        <f t="shared" si="16"/>
        <v>0.46927374301676</v>
      </c>
      <c r="J121">
        <f t="shared" si="17"/>
        <v>31.939163498098864</v>
      </c>
      <c r="K121">
        <v>70</v>
      </c>
      <c r="L121">
        <v>30</v>
      </c>
    </row>
    <row r="122" spans="1:12" x14ac:dyDescent="0.35">
      <c r="A122" t="s">
        <v>122</v>
      </c>
      <c r="B122">
        <v>69.48</v>
      </c>
      <c r="C122">
        <f t="shared" si="18"/>
        <v>-6.8847087774970318E-3</v>
      </c>
      <c r="D122">
        <f t="shared" si="19"/>
        <v>-0.47999999999998977</v>
      </c>
      <c r="E122">
        <f t="shared" si="12"/>
        <v>0</v>
      </c>
      <c r="F122">
        <f t="shared" si="13"/>
        <v>0.47999999999998977</v>
      </c>
      <c r="G122">
        <f t="shared" si="14"/>
        <v>0.16857142857142954</v>
      </c>
      <c r="H122">
        <f t="shared" si="15"/>
        <v>0.23071428571428601</v>
      </c>
      <c r="I122">
        <f t="shared" si="16"/>
        <v>0.73065015479876483</v>
      </c>
      <c r="J122">
        <f t="shared" si="17"/>
        <v>42.218246869409761</v>
      </c>
      <c r="K122">
        <v>70</v>
      </c>
      <c r="L122">
        <v>30</v>
      </c>
    </row>
    <row r="123" spans="1:12" x14ac:dyDescent="0.35">
      <c r="A123" t="s">
        <v>123</v>
      </c>
      <c r="B123">
        <v>69.959999999999994</v>
      </c>
      <c r="C123">
        <f t="shared" si="18"/>
        <v>-9.8144589801353477E-3</v>
      </c>
      <c r="D123">
        <f t="shared" si="19"/>
        <v>-0.69000000000001194</v>
      </c>
      <c r="E123">
        <f t="shared" si="12"/>
        <v>0</v>
      </c>
      <c r="F123">
        <f t="shared" si="13"/>
        <v>0.69000000000001194</v>
      </c>
      <c r="G123">
        <f t="shared" si="14"/>
        <v>0.21500000000000036</v>
      </c>
      <c r="H123">
        <f t="shared" si="15"/>
        <v>0.19642857142857245</v>
      </c>
      <c r="I123">
        <f t="shared" si="16"/>
        <v>1.0945454545454507</v>
      </c>
      <c r="J123">
        <f t="shared" si="17"/>
        <v>52.256944444444358</v>
      </c>
      <c r="K123">
        <v>70</v>
      </c>
      <c r="L123">
        <v>30</v>
      </c>
    </row>
    <row r="124" spans="1:12" x14ac:dyDescent="0.35">
      <c r="A124" t="s">
        <v>124</v>
      </c>
      <c r="B124">
        <v>70.650000000000006</v>
      </c>
      <c r="C124">
        <f t="shared" si="18"/>
        <v>-2.1208915691375133E-3</v>
      </c>
      <c r="D124">
        <f t="shared" si="19"/>
        <v>-0.14999999999999147</v>
      </c>
      <c r="E124">
        <f t="shared" si="12"/>
        <v>0</v>
      </c>
      <c r="F124">
        <f t="shared" si="13"/>
        <v>0.14999999999999147</v>
      </c>
      <c r="G124">
        <f t="shared" si="14"/>
        <v>0.22571428571428648</v>
      </c>
      <c r="H124">
        <f t="shared" si="15"/>
        <v>0.1471428571428573</v>
      </c>
      <c r="I124">
        <f t="shared" si="16"/>
        <v>1.5339805825242754</v>
      </c>
      <c r="J124">
        <f t="shared" si="17"/>
        <v>60.53639846743301</v>
      </c>
      <c r="K124">
        <v>70</v>
      </c>
      <c r="L124">
        <v>30</v>
      </c>
    </row>
    <row r="125" spans="1:12" x14ac:dyDescent="0.35">
      <c r="A125" t="s">
        <v>125</v>
      </c>
      <c r="B125">
        <v>70.8</v>
      </c>
      <c r="C125">
        <f t="shared" si="18"/>
        <v>9.8918965177551238E-4</v>
      </c>
      <c r="D125">
        <f t="shared" si="19"/>
        <v>6.9999999999993179E-2</v>
      </c>
      <c r="E125">
        <f t="shared" si="12"/>
        <v>6.9999999999993179E-2</v>
      </c>
      <c r="F125">
        <f t="shared" si="13"/>
        <v>0</v>
      </c>
      <c r="G125">
        <f t="shared" si="14"/>
        <v>0.22571428571428648</v>
      </c>
      <c r="H125">
        <f t="shared" si="15"/>
        <v>0.16928571428571562</v>
      </c>
      <c r="I125">
        <f t="shared" si="16"/>
        <v>1.3333333333333273</v>
      </c>
      <c r="J125">
        <f t="shared" si="17"/>
        <v>57.142857142857032</v>
      </c>
      <c r="K125">
        <v>70</v>
      </c>
      <c r="L125">
        <v>30</v>
      </c>
    </row>
    <row r="126" spans="1:12" x14ac:dyDescent="0.35">
      <c r="A126" t="s">
        <v>126</v>
      </c>
      <c r="B126">
        <v>70.73</v>
      </c>
      <c r="C126">
        <f t="shared" si="18"/>
        <v>5.5291840020622153E-3</v>
      </c>
      <c r="D126">
        <f t="shared" si="19"/>
        <v>0.39000000000000057</v>
      </c>
      <c r="E126">
        <f t="shared" si="12"/>
        <v>0.39000000000000057</v>
      </c>
      <c r="F126">
        <f t="shared" si="13"/>
        <v>0</v>
      </c>
      <c r="G126">
        <f t="shared" si="14"/>
        <v>0.22071428571428697</v>
      </c>
      <c r="H126">
        <f t="shared" si="15"/>
        <v>0.19000000000000078</v>
      </c>
      <c r="I126">
        <f t="shared" si="16"/>
        <v>1.1616541353383478</v>
      </c>
      <c r="J126">
        <f t="shared" si="17"/>
        <v>53.739130434782652</v>
      </c>
      <c r="K126">
        <v>70</v>
      </c>
      <c r="L126">
        <v>30</v>
      </c>
    </row>
    <row r="127" spans="1:12" x14ac:dyDescent="0.35">
      <c r="A127" t="s">
        <v>127</v>
      </c>
      <c r="B127">
        <v>70.34</v>
      </c>
      <c r="C127">
        <f t="shared" si="18"/>
        <v>-7.1058057420375685E-4</v>
      </c>
      <c r="D127">
        <f t="shared" si="19"/>
        <v>-4.9999999999997158E-2</v>
      </c>
      <c r="E127">
        <f t="shared" si="12"/>
        <v>0</v>
      </c>
      <c r="F127">
        <f t="shared" si="13"/>
        <v>4.9999999999997158E-2</v>
      </c>
      <c r="G127">
        <f t="shared" si="14"/>
        <v>0.24214285714285819</v>
      </c>
      <c r="H127">
        <f t="shared" si="15"/>
        <v>0.19000000000000078</v>
      </c>
      <c r="I127">
        <f t="shared" si="16"/>
        <v>1.2744360902255643</v>
      </c>
      <c r="J127">
        <f t="shared" si="17"/>
        <v>56.033057851239683</v>
      </c>
      <c r="K127">
        <v>70</v>
      </c>
      <c r="L127">
        <v>30</v>
      </c>
    </row>
    <row r="128" spans="1:12" x14ac:dyDescent="0.35">
      <c r="A128" t="s">
        <v>128</v>
      </c>
      <c r="B128">
        <v>70.39</v>
      </c>
      <c r="C128">
        <f t="shared" si="18"/>
        <v>1.7062424159339222E-3</v>
      </c>
      <c r="D128">
        <f t="shared" si="19"/>
        <v>0.12000000000000455</v>
      </c>
      <c r="E128">
        <f t="shared" si="12"/>
        <v>0.12000000000000455</v>
      </c>
      <c r="F128">
        <f t="shared" si="13"/>
        <v>0</v>
      </c>
      <c r="G128">
        <f t="shared" si="14"/>
        <v>0.24214285714285819</v>
      </c>
      <c r="H128">
        <f t="shared" si="15"/>
        <v>0.18857142857142964</v>
      </c>
      <c r="I128">
        <f t="shared" si="16"/>
        <v>1.2840909090909074</v>
      </c>
      <c r="J128">
        <f t="shared" si="17"/>
        <v>56.218905472636784</v>
      </c>
      <c r="K128">
        <v>70</v>
      </c>
      <c r="L128">
        <v>30</v>
      </c>
    </row>
    <row r="129" spans="1:12" x14ac:dyDescent="0.35">
      <c r="A129" t="s">
        <v>129</v>
      </c>
      <c r="B129">
        <v>70.27</v>
      </c>
      <c r="C129">
        <f t="shared" si="18"/>
        <v>-5.6761894986566506E-3</v>
      </c>
      <c r="D129">
        <f t="shared" si="19"/>
        <v>-0.40000000000000568</v>
      </c>
      <c r="E129">
        <f t="shared" si="12"/>
        <v>0</v>
      </c>
      <c r="F129">
        <f t="shared" si="13"/>
        <v>0.40000000000000568</v>
      </c>
      <c r="G129">
        <f t="shared" si="14"/>
        <v>0.23357142857142929</v>
      </c>
      <c r="H129">
        <f t="shared" si="15"/>
        <v>0.28571428571428675</v>
      </c>
      <c r="I129">
        <f t="shared" si="16"/>
        <v>0.81749999999999956</v>
      </c>
      <c r="J129">
        <f t="shared" si="17"/>
        <v>44.979367262723507</v>
      </c>
      <c r="K129">
        <v>70</v>
      </c>
      <c r="L129">
        <v>30</v>
      </c>
    </row>
    <row r="130" spans="1:12" x14ac:dyDescent="0.35">
      <c r="A130" t="s">
        <v>130</v>
      </c>
      <c r="B130">
        <v>70.67</v>
      </c>
      <c r="C130">
        <f t="shared" ref="C130:C161" si="20">LN(B130/B131)</f>
        <v>1.2743364556390979E-3</v>
      </c>
      <c r="D130">
        <f t="shared" ref="D130:D161" si="21" xml:space="preserve"> B130 - B131</f>
        <v>9.0000000000003411E-2</v>
      </c>
      <c r="E130">
        <f t="shared" si="12"/>
        <v>9.0000000000003411E-2</v>
      </c>
      <c r="F130">
        <f t="shared" si="13"/>
        <v>0</v>
      </c>
      <c r="G130">
        <f t="shared" si="14"/>
        <v>0.23357142857142929</v>
      </c>
      <c r="H130">
        <f t="shared" si="15"/>
        <v>0.28857142857142903</v>
      </c>
      <c r="I130">
        <f t="shared" si="16"/>
        <v>0.80940594059406057</v>
      </c>
      <c r="J130">
        <f t="shared" si="17"/>
        <v>44.733242134062962</v>
      </c>
      <c r="K130">
        <v>70</v>
      </c>
      <c r="L130">
        <v>30</v>
      </c>
    </row>
    <row r="131" spans="1:12" x14ac:dyDescent="0.35">
      <c r="A131" t="s">
        <v>131</v>
      </c>
      <c r="B131">
        <v>70.58</v>
      </c>
      <c r="C131">
        <f t="shared" si="20"/>
        <v>1.4413378311574198E-2</v>
      </c>
      <c r="D131">
        <f t="shared" si="21"/>
        <v>1.0100000000000051</v>
      </c>
      <c r="E131">
        <f t="shared" ref="E131:E187" si="22" xml:space="preserve"> IF(D131 &gt; 0, D131, 0)</f>
        <v>1.0100000000000051</v>
      </c>
      <c r="F131">
        <f t="shared" ref="F131:F187" si="23" xml:space="preserve"> IF(D131 &lt; 0, ABS(D131), 0)</f>
        <v>0</v>
      </c>
      <c r="G131">
        <f t="shared" ref="G131:G187" si="24" xml:space="preserve"> AVERAGE(E131:E144)</f>
        <v>0.26500000000000057</v>
      </c>
      <c r="H131">
        <f t="shared" ref="H131:H187" si="25" xml:space="preserve"> AVERAGE(F131:F144)</f>
        <v>0.28857142857142903</v>
      </c>
      <c r="I131">
        <f t="shared" ref="I131:I187" si="26">G131/H131</f>
        <v>0.9183168316831688</v>
      </c>
      <c r="J131">
        <f t="shared" ref="J131:J187" si="27" xml:space="preserve"> 100 - (100 / (1 + I131))</f>
        <v>47.870967741935502</v>
      </c>
      <c r="K131">
        <v>70</v>
      </c>
      <c r="L131">
        <v>30</v>
      </c>
    </row>
    <row r="132" spans="1:12" x14ac:dyDescent="0.35">
      <c r="A132" t="s">
        <v>132</v>
      </c>
      <c r="B132">
        <v>69.569999999999993</v>
      </c>
      <c r="C132">
        <f t="shared" si="20"/>
        <v>-1.5970680247312775E-2</v>
      </c>
      <c r="D132">
        <f t="shared" si="21"/>
        <v>-1.1200000000000045</v>
      </c>
      <c r="E132">
        <f t="shared" si="22"/>
        <v>0</v>
      </c>
      <c r="F132">
        <f t="shared" si="23"/>
        <v>1.1200000000000045</v>
      </c>
      <c r="G132">
        <f t="shared" si="24"/>
        <v>0.22214285714285711</v>
      </c>
      <c r="H132">
        <f t="shared" si="25"/>
        <v>0.28857142857142903</v>
      </c>
      <c r="I132">
        <f t="shared" si="26"/>
        <v>0.76980198019801849</v>
      </c>
      <c r="J132">
        <f t="shared" si="27"/>
        <v>43.496503496503458</v>
      </c>
      <c r="K132">
        <v>70</v>
      </c>
      <c r="L132">
        <v>30</v>
      </c>
    </row>
    <row r="133" spans="1:12" x14ac:dyDescent="0.35">
      <c r="A133" t="s">
        <v>133</v>
      </c>
      <c r="B133">
        <v>70.69</v>
      </c>
      <c r="C133">
        <f t="shared" si="20"/>
        <v>-7.0706359447185647E-4</v>
      </c>
      <c r="D133">
        <f t="shared" si="21"/>
        <v>-4.9999999999997158E-2</v>
      </c>
      <c r="E133">
        <f t="shared" si="22"/>
        <v>0</v>
      </c>
      <c r="F133">
        <f t="shared" si="23"/>
        <v>4.9999999999997158E-2</v>
      </c>
      <c r="G133">
        <f t="shared" si="24"/>
        <v>0.24285714285714327</v>
      </c>
      <c r="H133">
        <f t="shared" si="25"/>
        <v>0.20857142857142869</v>
      </c>
      <c r="I133">
        <f t="shared" si="26"/>
        <v>1.1643835616438369</v>
      </c>
      <c r="J133">
        <f t="shared" si="27"/>
        <v>53.797468354430414</v>
      </c>
      <c r="K133">
        <v>70</v>
      </c>
      <c r="L133">
        <v>30</v>
      </c>
    </row>
    <row r="134" spans="1:12" x14ac:dyDescent="0.35">
      <c r="A134" t="s">
        <v>134</v>
      </c>
      <c r="B134">
        <v>70.739999999999995</v>
      </c>
      <c r="C134">
        <f t="shared" si="20"/>
        <v>-4.0911392323841281E-3</v>
      </c>
      <c r="D134">
        <f t="shared" si="21"/>
        <v>-0.29000000000000625</v>
      </c>
      <c r="E134">
        <f t="shared" si="22"/>
        <v>0</v>
      </c>
      <c r="F134">
        <f t="shared" si="23"/>
        <v>0.29000000000000625</v>
      </c>
      <c r="G134">
        <f t="shared" si="24"/>
        <v>0.26071428571428612</v>
      </c>
      <c r="H134">
        <f t="shared" si="25"/>
        <v>0.20500000000000032</v>
      </c>
      <c r="I134">
        <f t="shared" si="26"/>
        <v>1.2717770034843205</v>
      </c>
      <c r="J134">
        <f t="shared" si="27"/>
        <v>55.981595092024541</v>
      </c>
      <c r="K134">
        <v>70</v>
      </c>
      <c r="L134">
        <v>30</v>
      </c>
    </row>
    <row r="135" spans="1:12" x14ac:dyDescent="0.35">
      <c r="A135" t="s">
        <v>135</v>
      </c>
      <c r="B135">
        <v>71.03</v>
      </c>
      <c r="C135">
        <f t="shared" si="20"/>
        <v>9.6195394493207159E-3</v>
      </c>
      <c r="D135">
        <f t="shared" si="21"/>
        <v>0.68000000000000682</v>
      </c>
      <c r="E135">
        <f t="shared" si="22"/>
        <v>0.68000000000000682</v>
      </c>
      <c r="F135">
        <f t="shared" si="23"/>
        <v>0</v>
      </c>
      <c r="G135">
        <f t="shared" si="24"/>
        <v>0.30642857142857188</v>
      </c>
      <c r="H135">
        <f t="shared" si="25"/>
        <v>0.18428571428571416</v>
      </c>
      <c r="I135">
        <f t="shared" si="26"/>
        <v>1.6627906976744222</v>
      </c>
      <c r="J135">
        <f t="shared" si="27"/>
        <v>62.445414847161629</v>
      </c>
      <c r="K135">
        <v>70</v>
      </c>
      <c r="L135">
        <v>30</v>
      </c>
    </row>
    <row r="136" spans="1:12" x14ac:dyDescent="0.35">
      <c r="A136" t="s">
        <v>136</v>
      </c>
      <c r="B136">
        <v>70.349999999999994</v>
      </c>
      <c r="C136">
        <f t="shared" si="20"/>
        <v>9.2824657939198189E-3</v>
      </c>
      <c r="D136">
        <f t="shared" si="21"/>
        <v>0.64999999999999147</v>
      </c>
      <c r="E136">
        <f t="shared" si="22"/>
        <v>0.64999999999999147</v>
      </c>
      <c r="F136">
        <f t="shared" si="23"/>
        <v>0</v>
      </c>
      <c r="G136">
        <f t="shared" si="24"/>
        <v>0.33142857142857046</v>
      </c>
      <c r="H136">
        <f t="shared" si="25"/>
        <v>0.18428571428571416</v>
      </c>
      <c r="I136">
        <f t="shared" si="26"/>
        <v>1.7984496124030966</v>
      </c>
      <c r="J136">
        <f t="shared" si="27"/>
        <v>64.265927977839283</v>
      </c>
      <c r="K136">
        <v>70</v>
      </c>
      <c r="L136">
        <v>30</v>
      </c>
    </row>
    <row r="137" spans="1:12" x14ac:dyDescent="0.35">
      <c r="A137" t="s">
        <v>137</v>
      </c>
      <c r="B137">
        <v>69.7</v>
      </c>
      <c r="C137">
        <f t="shared" si="20"/>
        <v>2.1543993970264464E-3</v>
      </c>
      <c r="D137">
        <f t="shared" si="21"/>
        <v>0.15000000000000568</v>
      </c>
      <c r="E137">
        <f t="shared" si="22"/>
        <v>0.15000000000000568</v>
      </c>
      <c r="F137">
        <f t="shared" si="23"/>
        <v>0</v>
      </c>
      <c r="G137">
        <f t="shared" si="24"/>
        <v>0.317142857142857</v>
      </c>
      <c r="H137">
        <f t="shared" si="25"/>
        <v>0.18428571428571416</v>
      </c>
      <c r="I137">
        <f t="shared" si="26"/>
        <v>1.7209302325581399</v>
      </c>
      <c r="J137">
        <f t="shared" si="27"/>
        <v>63.247863247863251</v>
      </c>
      <c r="K137">
        <v>70</v>
      </c>
      <c r="L137">
        <v>30</v>
      </c>
    </row>
    <row r="138" spans="1:12" x14ac:dyDescent="0.35">
      <c r="A138" t="s">
        <v>138</v>
      </c>
      <c r="B138">
        <v>69.55</v>
      </c>
      <c r="C138">
        <f t="shared" si="20"/>
        <v>-6.5921706196543804E-3</v>
      </c>
      <c r="D138">
        <f t="shared" si="21"/>
        <v>-0.46000000000000796</v>
      </c>
      <c r="E138">
        <f t="shared" si="22"/>
        <v>0</v>
      </c>
      <c r="F138">
        <f t="shared" si="23"/>
        <v>0.46000000000000796</v>
      </c>
      <c r="G138">
        <f t="shared" si="24"/>
        <v>0.30642857142857088</v>
      </c>
      <c r="H138">
        <f t="shared" si="25"/>
        <v>0.20071428571428487</v>
      </c>
      <c r="I138">
        <f t="shared" si="26"/>
        <v>1.5266903914590784</v>
      </c>
      <c r="J138">
        <f t="shared" si="27"/>
        <v>60.422535211267665</v>
      </c>
      <c r="K138">
        <v>70</v>
      </c>
      <c r="L138">
        <v>30</v>
      </c>
    </row>
    <row r="139" spans="1:12" x14ac:dyDescent="0.35">
      <c r="A139" t="s">
        <v>139</v>
      </c>
      <c r="B139">
        <v>70.010000000000005</v>
      </c>
      <c r="C139">
        <f t="shared" si="20"/>
        <v>-4.1337098275129307E-3</v>
      </c>
      <c r="D139">
        <f t="shared" si="21"/>
        <v>-0.28999999999999204</v>
      </c>
      <c r="E139">
        <f t="shared" si="22"/>
        <v>0</v>
      </c>
      <c r="F139">
        <f t="shared" si="23"/>
        <v>0.28999999999999204</v>
      </c>
      <c r="G139">
        <f t="shared" si="24"/>
        <v>0.31928571428571317</v>
      </c>
      <c r="H139">
        <f t="shared" si="25"/>
        <v>0.16785714285714143</v>
      </c>
      <c r="I139">
        <f t="shared" si="26"/>
        <v>1.9021276595744776</v>
      </c>
      <c r="J139">
        <f t="shared" si="27"/>
        <v>65.542521994135015</v>
      </c>
      <c r="K139">
        <v>70</v>
      </c>
      <c r="L139">
        <v>30</v>
      </c>
    </row>
    <row r="140" spans="1:12" x14ac:dyDescent="0.35">
      <c r="A140" t="s">
        <v>140</v>
      </c>
      <c r="B140">
        <v>70.3</v>
      </c>
      <c r="C140">
        <f t="shared" si="20"/>
        <v>9.8635636360440079E-3</v>
      </c>
      <c r="D140">
        <f t="shared" si="21"/>
        <v>0.68999999999999773</v>
      </c>
      <c r="E140">
        <f t="shared" si="22"/>
        <v>0.68999999999999773</v>
      </c>
      <c r="F140">
        <f t="shared" si="23"/>
        <v>0</v>
      </c>
      <c r="G140">
        <f t="shared" si="24"/>
        <v>0.34714285714285609</v>
      </c>
      <c r="H140">
        <f t="shared" si="25"/>
        <v>0.1471428571428563</v>
      </c>
      <c r="I140">
        <f t="shared" si="26"/>
        <v>2.3592233009708803</v>
      </c>
      <c r="J140">
        <f t="shared" si="27"/>
        <v>70.231213872832427</v>
      </c>
      <c r="K140">
        <v>70</v>
      </c>
      <c r="L140">
        <v>30</v>
      </c>
    </row>
    <row r="141" spans="1:12" x14ac:dyDescent="0.35">
      <c r="A141" t="s">
        <v>141</v>
      </c>
      <c r="B141">
        <v>69.61</v>
      </c>
      <c r="C141">
        <f t="shared" si="20"/>
        <v>-4.3087971941323564E-4</v>
      </c>
      <c r="D141">
        <f t="shared" si="21"/>
        <v>-3.0000000000001137E-2</v>
      </c>
      <c r="E141">
        <f t="shared" si="22"/>
        <v>0</v>
      </c>
      <c r="F141">
        <f t="shared" si="23"/>
        <v>3.0000000000001137E-2</v>
      </c>
      <c r="G141">
        <f t="shared" si="24"/>
        <v>0.29785714285714199</v>
      </c>
      <c r="H141">
        <f t="shared" si="25"/>
        <v>0.1607142857142847</v>
      </c>
      <c r="I141">
        <f t="shared" si="26"/>
        <v>1.8533333333333397</v>
      </c>
      <c r="J141">
        <f t="shared" si="27"/>
        <v>64.953271028037463</v>
      </c>
      <c r="K141">
        <v>70</v>
      </c>
      <c r="L141">
        <v>30</v>
      </c>
    </row>
    <row r="142" spans="1:12" x14ac:dyDescent="0.35">
      <c r="A142" t="s">
        <v>142</v>
      </c>
      <c r="B142">
        <v>69.64</v>
      </c>
      <c r="C142">
        <f t="shared" si="20"/>
        <v>-1.9340762141327125E-2</v>
      </c>
      <c r="D142">
        <f t="shared" si="21"/>
        <v>-1.3599999999999994</v>
      </c>
      <c r="E142">
        <f t="shared" si="22"/>
        <v>0</v>
      </c>
      <c r="F142">
        <f t="shared" si="23"/>
        <v>1.3599999999999994</v>
      </c>
      <c r="G142">
        <f t="shared" si="24"/>
        <v>0.3349999999999988</v>
      </c>
      <c r="H142">
        <f t="shared" si="25"/>
        <v>0.15857142857142748</v>
      </c>
      <c r="I142">
        <f t="shared" si="26"/>
        <v>2.1126126126126197</v>
      </c>
      <c r="J142">
        <f t="shared" si="27"/>
        <v>67.872648335745367</v>
      </c>
      <c r="K142">
        <v>70</v>
      </c>
      <c r="L142">
        <v>30</v>
      </c>
    </row>
    <row r="143" spans="1:12" x14ac:dyDescent="0.35">
      <c r="A143" t="s">
        <v>143</v>
      </c>
      <c r="B143">
        <v>71</v>
      </c>
      <c r="C143">
        <f t="shared" si="20"/>
        <v>-6.1780595269281743E-3</v>
      </c>
      <c r="D143">
        <f t="shared" si="21"/>
        <v>-0.43999999999999773</v>
      </c>
      <c r="E143">
        <f t="shared" si="22"/>
        <v>0</v>
      </c>
      <c r="F143">
        <f t="shared" si="23"/>
        <v>0.43999999999999773</v>
      </c>
      <c r="G143">
        <f t="shared" si="24"/>
        <v>0.33928571428571325</v>
      </c>
      <c r="H143">
        <f t="shared" si="25"/>
        <v>6.1428571428570375E-2</v>
      </c>
      <c r="I143">
        <f t="shared" si="26"/>
        <v>5.5232558139535666</v>
      </c>
      <c r="J143">
        <f t="shared" si="27"/>
        <v>84.670231729055445</v>
      </c>
      <c r="K143">
        <v>70</v>
      </c>
      <c r="L143">
        <v>30</v>
      </c>
    </row>
    <row r="144" spans="1:12" x14ac:dyDescent="0.35">
      <c r="A144" t="s">
        <v>144</v>
      </c>
      <c r="B144">
        <v>71.44</v>
      </c>
      <c r="C144">
        <f t="shared" si="20"/>
        <v>7.4464692523383636E-3</v>
      </c>
      <c r="D144">
        <f t="shared" si="21"/>
        <v>0.53000000000000114</v>
      </c>
      <c r="E144">
        <f t="shared" si="22"/>
        <v>0.53000000000000114</v>
      </c>
      <c r="F144">
        <f t="shared" si="23"/>
        <v>0</v>
      </c>
      <c r="G144">
        <f t="shared" si="24"/>
        <v>0.34785714285714214</v>
      </c>
      <c r="H144">
        <f t="shared" si="25"/>
        <v>2.9999999999999107E-2</v>
      </c>
      <c r="I144">
        <f t="shared" si="26"/>
        <v>11.595238095238416</v>
      </c>
      <c r="J144">
        <f t="shared" si="27"/>
        <v>92.06049149338395</v>
      </c>
      <c r="K144">
        <v>70</v>
      </c>
      <c r="L144">
        <v>30</v>
      </c>
    </row>
    <row r="145" spans="1:12" x14ac:dyDescent="0.35">
      <c r="A145" t="s">
        <v>145</v>
      </c>
      <c r="B145">
        <v>70.91</v>
      </c>
      <c r="C145">
        <f t="shared" si="20"/>
        <v>5.7987574976823457E-3</v>
      </c>
      <c r="D145">
        <f t="shared" si="21"/>
        <v>0.40999999999999659</v>
      </c>
      <c r="E145">
        <f t="shared" si="22"/>
        <v>0.40999999999999659</v>
      </c>
      <c r="F145">
        <f t="shared" si="23"/>
        <v>0</v>
      </c>
      <c r="G145">
        <f t="shared" si="24"/>
        <v>0.33071428571428435</v>
      </c>
      <c r="H145">
        <f t="shared" si="25"/>
        <v>2.9999999999999107E-2</v>
      </c>
      <c r="I145">
        <f t="shared" si="26"/>
        <v>11.023809523809806</v>
      </c>
      <c r="J145">
        <f t="shared" si="27"/>
        <v>91.683168316831882</v>
      </c>
      <c r="K145">
        <v>70</v>
      </c>
      <c r="L145">
        <v>30</v>
      </c>
    </row>
    <row r="146" spans="1:12" x14ac:dyDescent="0.35">
      <c r="A146" t="s">
        <v>146</v>
      </c>
      <c r="B146">
        <v>70.5</v>
      </c>
      <c r="C146">
        <f t="shared" si="20"/>
        <v>4.1219587890657002E-3</v>
      </c>
      <c r="D146">
        <f t="shared" si="21"/>
        <v>0.29000000000000625</v>
      </c>
      <c r="E146">
        <f t="shared" si="22"/>
        <v>0.29000000000000625</v>
      </c>
      <c r="F146">
        <f t="shared" si="23"/>
        <v>0</v>
      </c>
      <c r="G146">
        <f t="shared" si="24"/>
        <v>0.30142857142857032</v>
      </c>
      <c r="H146">
        <f t="shared" si="25"/>
        <v>6.5714285714284823E-2</v>
      </c>
      <c r="I146">
        <f t="shared" si="26"/>
        <v>4.5869565217391761</v>
      </c>
      <c r="J146">
        <f t="shared" si="27"/>
        <v>82.101167315175246</v>
      </c>
      <c r="K146">
        <v>70</v>
      </c>
      <c r="L146">
        <v>30</v>
      </c>
    </row>
    <row r="147" spans="1:12" x14ac:dyDescent="0.35">
      <c r="A147" t="s">
        <v>147</v>
      </c>
      <c r="B147">
        <v>70.209999999999994</v>
      </c>
      <c r="C147">
        <f t="shared" si="20"/>
        <v>3.5671008787561821E-3</v>
      </c>
      <c r="D147">
        <f t="shared" si="21"/>
        <v>0.25</v>
      </c>
      <c r="E147">
        <f t="shared" si="22"/>
        <v>0.25</v>
      </c>
      <c r="F147">
        <f t="shared" si="23"/>
        <v>0</v>
      </c>
      <c r="G147">
        <f t="shared" si="24"/>
        <v>0.2807142857142842</v>
      </c>
      <c r="H147">
        <f t="shared" si="25"/>
        <v>6.9285714285713187E-2</v>
      </c>
      <c r="I147">
        <f t="shared" si="26"/>
        <v>4.0515463917526198</v>
      </c>
      <c r="J147">
        <f t="shared" si="27"/>
        <v>80.204081632653228</v>
      </c>
      <c r="K147">
        <v>70</v>
      </c>
      <c r="L147">
        <v>30</v>
      </c>
    </row>
    <row r="148" spans="1:12" x14ac:dyDescent="0.35">
      <c r="A148" t="s">
        <v>148</v>
      </c>
      <c r="B148">
        <v>69.959999999999994</v>
      </c>
      <c r="C148">
        <f t="shared" si="20"/>
        <v>9.1901853029959599E-3</v>
      </c>
      <c r="D148">
        <f t="shared" si="21"/>
        <v>0.64000000000000057</v>
      </c>
      <c r="E148">
        <f t="shared" si="22"/>
        <v>0.64000000000000057</v>
      </c>
      <c r="F148">
        <f t="shared" si="23"/>
        <v>0</v>
      </c>
      <c r="G148">
        <f t="shared" si="24"/>
        <v>0.28142857142857025</v>
      </c>
      <c r="H148">
        <f t="shared" si="25"/>
        <v>6.9285714285713187E-2</v>
      </c>
      <c r="I148">
        <f t="shared" si="26"/>
        <v>4.0618556701031405</v>
      </c>
      <c r="J148">
        <f t="shared" si="27"/>
        <v>80.244399185336235</v>
      </c>
      <c r="K148">
        <v>70</v>
      </c>
      <c r="L148">
        <v>30</v>
      </c>
    </row>
    <row r="149" spans="1:12" x14ac:dyDescent="0.35">
      <c r="A149" t="s">
        <v>149</v>
      </c>
      <c r="B149">
        <v>69.319999999999993</v>
      </c>
      <c r="C149">
        <f t="shared" si="20"/>
        <v>1.4970121874407234E-2</v>
      </c>
      <c r="D149">
        <f t="shared" si="21"/>
        <v>1.0299999999999869</v>
      </c>
      <c r="E149">
        <f t="shared" si="22"/>
        <v>1.0299999999999869</v>
      </c>
      <c r="F149">
        <f t="shared" si="23"/>
        <v>0</v>
      </c>
      <c r="G149">
        <f t="shared" si="24"/>
        <v>0.26428571428571246</v>
      </c>
      <c r="H149">
        <f t="shared" si="25"/>
        <v>6.9285714285713187E-2</v>
      </c>
      <c r="I149">
        <f t="shared" si="26"/>
        <v>3.8144329896907556</v>
      </c>
      <c r="J149">
        <f t="shared" si="27"/>
        <v>79.229122055674665</v>
      </c>
      <c r="K149">
        <v>70</v>
      </c>
      <c r="L149">
        <v>30</v>
      </c>
    </row>
    <row r="150" spans="1:12" x14ac:dyDescent="0.35">
      <c r="A150" t="s">
        <v>150</v>
      </c>
      <c r="B150">
        <v>68.290000000000006</v>
      </c>
      <c r="C150">
        <f t="shared" si="20"/>
        <v>6.6113514893502987E-3</v>
      </c>
      <c r="D150">
        <f t="shared" si="21"/>
        <v>0.45000000000000284</v>
      </c>
      <c r="E150">
        <f t="shared" si="22"/>
        <v>0.45000000000000284</v>
      </c>
      <c r="F150">
        <f t="shared" si="23"/>
        <v>0</v>
      </c>
      <c r="G150">
        <f t="shared" si="24"/>
        <v>0.19071428571428481</v>
      </c>
      <c r="H150">
        <f t="shared" si="25"/>
        <v>7.2857142857141552E-2</v>
      </c>
      <c r="I150">
        <f t="shared" si="26"/>
        <v>2.6176470588235641</v>
      </c>
      <c r="J150">
        <f t="shared" si="27"/>
        <v>72.357723577236044</v>
      </c>
      <c r="K150">
        <v>70</v>
      </c>
      <c r="L150">
        <v>30</v>
      </c>
    </row>
    <row r="151" spans="1:12" x14ac:dyDescent="0.35">
      <c r="A151" t="s">
        <v>151</v>
      </c>
      <c r="B151">
        <v>67.84</v>
      </c>
      <c r="C151">
        <f t="shared" si="20"/>
        <v>-3.3845959762122228E-3</v>
      </c>
      <c r="D151">
        <f t="shared" si="21"/>
        <v>-0.22999999999998977</v>
      </c>
      <c r="E151">
        <f t="shared" si="22"/>
        <v>0</v>
      </c>
      <c r="F151">
        <f t="shared" si="23"/>
        <v>0.22999999999998977</v>
      </c>
      <c r="G151">
        <f t="shared" si="24"/>
        <v>0.15857142857142748</v>
      </c>
      <c r="H151">
        <f t="shared" si="25"/>
        <v>0.15857142857142748</v>
      </c>
      <c r="I151">
        <f t="shared" si="26"/>
        <v>1</v>
      </c>
      <c r="J151">
        <f t="shared" si="27"/>
        <v>50</v>
      </c>
      <c r="K151">
        <v>70</v>
      </c>
      <c r="L151">
        <v>30</v>
      </c>
    </row>
    <row r="152" spans="1:12" x14ac:dyDescent="0.35">
      <c r="A152" t="s">
        <v>152</v>
      </c>
      <c r="B152">
        <v>68.069999999999993</v>
      </c>
      <c r="C152">
        <f t="shared" si="20"/>
        <v>2.6478391463042772E-3</v>
      </c>
      <c r="D152">
        <f t="shared" si="21"/>
        <v>0.17999999999999261</v>
      </c>
      <c r="E152">
        <f t="shared" si="22"/>
        <v>0.17999999999999261</v>
      </c>
      <c r="F152">
        <f t="shared" si="23"/>
        <v>0</v>
      </c>
      <c r="G152">
        <f t="shared" si="24"/>
        <v>0.25428571428571345</v>
      </c>
      <c r="H152">
        <f t="shared" si="25"/>
        <v>0.14214285714285677</v>
      </c>
      <c r="I152">
        <f t="shared" si="26"/>
        <v>1.7889447236180893</v>
      </c>
      <c r="J152">
        <f t="shared" si="27"/>
        <v>64.144144144144121</v>
      </c>
      <c r="K152">
        <v>70</v>
      </c>
      <c r="L152">
        <v>30</v>
      </c>
    </row>
    <row r="153" spans="1:12" x14ac:dyDescent="0.35">
      <c r="A153" t="s">
        <v>153</v>
      </c>
      <c r="B153">
        <v>67.89</v>
      </c>
      <c r="C153">
        <f t="shared" si="20"/>
        <v>5.7611504350716623E-3</v>
      </c>
      <c r="D153">
        <f t="shared" si="21"/>
        <v>0.39000000000000057</v>
      </c>
      <c r="E153">
        <f t="shared" si="22"/>
        <v>0.39000000000000057</v>
      </c>
      <c r="F153">
        <f t="shared" si="23"/>
        <v>0</v>
      </c>
      <c r="G153">
        <f t="shared" si="24"/>
        <v>0.32714285714285701</v>
      </c>
      <c r="H153">
        <f t="shared" si="25"/>
        <v>0.14214285714285677</v>
      </c>
      <c r="I153">
        <f t="shared" si="26"/>
        <v>2.3015075376884475</v>
      </c>
      <c r="J153">
        <f t="shared" si="27"/>
        <v>69.710806697108112</v>
      </c>
      <c r="K153">
        <v>70</v>
      </c>
      <c r="L153">
        <v>30</v>
      </c>
    </row>
    <row r="154" spans="1:12" x14ac:dyDescent="0.35">
      <c r="A154" t="s">
        <v>154</v>
      </c>
      <c r="B154">
        <v>67.5</v>
      </c>
      <c r="C154">
        <f t="shared" si="20"/>
        <v>-2.8108606420320795E-3</v>
      </c>
      <c r="D154">
        <f t="shared" si="21"/>
        <v>-0.18999999999999773</v>
      </c>
      <c r="E154">
        <f t="shared" si="22"/>
        <v>0</v>
      </c>
      <c r="F154">
        <f t="shared" si="23"/>
        <v>0.18999999999999773</v>
      </c>
      <c r="G154">
        <f t="shared" si="24"/>
        <v>0.2992857142857141</v>
      </c>
      <c r="H154">
        <f t="shared" si="25"/>
        <v>0.2078571428571426</v>
      </c>
      <c r="I154">
        <f t="shared" si="26"/>
        <v>1.4398625429553273</v>
      </c>
      <c r="J154">
        <f t="shared" si="27"/>
        <v>59.01408450704227</v>
      </c>
      <c r="K154">
        <v>70</v>
      </c>
      <c r="L154">
        <v>30</v>
      </c>
    </row>
    <row r="155" spans="1:12" x14ac:dyDescent="0.35">
      <c r="A155" t="s">
        <v>155</v>
      </c>
      <c r="B155">
        <v>67.69</v>
      </c>
      <c r="C155">
        <f t="shared" si="20"/>
        <v>7.7117392417430358E-3</v>
      </c>
      <c r="D155">
        <f t="shared" si="21"/>
        <v>0.51999999999999602</v>
      </c>
      <c r="E155">
        <f t="shared" si="22"/>
        <v>0.51999999999999602</v>
      </c>
      <c r="F155">
        <f t="shared" si="23"/>
        <v>0</v>
      </c>
      <c r="G155">
        <f t="shared" si="24"/>
        <v>0.35857142857142826</v>
      </c>
      <c r="H155">
        <f t="shared" si="25"/>
        <v>0.1942857142857142</v>
      </c>
      <c r="I155">
        <f t="shared" si="26"/>
        <v>1.8455882352941169</v>
      </c>
      <c r="J155">
        <f t="shared" si="27"/>
        <v>64.857881136950894</v>
      </c>
      <c r="K155">
        <v>70</v>
      </c>
      <c r="L155">
        <v>30</v>
      </c>
    </row>
    <row r="156" spans="1:12" x14ac:dyDescent="0.35">
      <c r="A156" t="s">
        <v>156</v>
      </c>
      <c r="B156">
        <v>67.17</v>
      </c>
      <c r="C156">
        <f t="shared" si="20"/>
        <v>8.936551086252693E-4</v>
      </c>
      <c r="D156">
        <f t="shared" si="21"/>
        <v>6.0000000000002274E-2</v>
      </c>
      <c r="E156">
        <f t="shared" si="22"/>
        <v>6.0000000000002274E-2</v>
      </c>
      <c r="F156">
        <f t="shared" si="23"/>
        <v>0</v>
      </c>
      <c r="G156">
        <f t="shared" si="24"/>
        <v>0.32142857142857145</v>
      </c>
      <c r="H156">
        <f t="shared" si="25"/>
        <v>0.20999999999999983</v>
      </c>
      <c r="I156">
        <f t="shared" si="26"/>
        <v>1.5306122448979607</v>
      </c>
      <c r="J156">
        <f t="shared" si="27"/>
        <v>60.483870967741957</v>
      </c>
      <c r="K156">
        <v>70</v>
      </c>
      <c r="L156">
        <v>30</v>
      </c>
    </row>
    <row r="157" spans="1:12" x14ac:dyDescent="0.35">
      <c r="A157" t="s">
        <v>157</v>
      </c>
      <c r="B157">
        <v>67.11</v>
      </c>
      <c r="C157">
        <f t="shared" si="20"/>
        <v>1.7897096499717093E-3</v>
      </c>
      <c r="D157">
        <f t="shared" si="21"/>
        <v>0.12000000000000455</v>
      </c>
      <c r="E157">
        <f t="shared" si="22"/>
        <v>0.12000000000000455</v>
      </c>
      <c r="F157">
        <f t="shared" si="23"/>
        <v>0</v>
      </c>
      <c r="G157">
        <f t="shared" si="24"/>
        <v>0.38571428571428512</v>
      </c>
      <c r="H157">
        <f t="shared" si="25"/>
        <v>0.20999999999999983</v>
      </c>
      <c r="I157">
        <f t="shared" si="26"/>
        <v>1.8367346938775497</v>
      </c>
      <c r="J157">
        <f t="shared" si="27"/>
        <v>64.748201438848909</v>
      </c>
      <c r="K157">
        <v>70</v>
      </c>
      <c r="L157">
        <v>30</v>
      </c>
    </row>
    <row r="158" spans="1:12" x14ac:dyDescent="0.35">
      <c r="A158" t="s">
        <v>158</v>
      </c>
      <c r="B158">
        <v>66.989999999999995</v>
      </c>
      <c r="C158">
        <f t="shared" si="20"/>
        <v>4.3384015985981411E-3</v>
      </c>
      <c r="D158">
        <f t="shared" si="21"/>
        <v>0.28999999999999204</v>
      </c>
      <c r="E158">
        <f t="shared" si="22"/>
        <v>0.28999999999999204</v>
      </c>
      <c r="F158">
        <f t="shared" si="23"/>
        <v>0</v>
      </c>
      <c r="G158">
        <f t="shared" si="24"/>
        <v>0.39571428571428513</v>
      </c>
      <c r="H158">
        <f t="shared" si="25"/>
        <v>0.20999999999999983</v>
      </c>
      <c r="I158">
        <f t="shared" si="26"/>
        <v>1.8843537414965974</v>
      </c>
      <c r="J158">
        <f t="shared" si="27"/>
        <v>65.330188679245268</v>
      </c>
      <c r="K158">
        <v>70</v>
      </c>
      <c r="L158">
        <v>30</v>
      </c>
    </row>
    <row r="159" spans="1:12" x14ac:dyDescent="0.35">
      <c r="A159" t="s">
        <v>159</v>
      </c>
      <c r="B159">
        <v>66.7</v>
      </c>
      <c r="C159">
        <f t="shared" si="20"/>
        <v>-7.4682946075257991E-3</v>
      </c>
      <c r="D159">
        <f t="shared" si="21"/>
        <v>-0.5</v>
      </c>
      <c r="E159">
        <f t="shared" si="22"/>
        <v>0</v>
      </c>
      <c r="F159">
        <f t="shared" si="23"/>
        <v>0.5</v>
      </c>
      <c r="G159">
        <f t="shared" si="24"/>
        <v>0.43428571428571416</v>
      </c>
      <c r="H159">
        <f t="shared" si="25"/>
        <v>0.20999999999999983</v>
      </c>
      <c r="I159">
        <f t="shared" si="26"/>
        <v>2.0680272108843547</v>
      </c>
      <c r="J159">
        <f t="shared" si="27"/>
        <v>67.405764966740577</v>
      </c>
      <c r="K159">
        <v>70</v>
      </c>
      <c r="L159">
        <v>30</v>
      </c>
    </row>
    <row r="160" spans="1:12" x14ac:dyDescent="0.35">
      <c r="A160" t="s">
        <v>160</v>
      </c>
      <c r="B160">
        <v>67.2</v>
      </c>
      <c r="C160">
        <f t="shared" si="20"/>
        <v>-7.4377095284454138E-4</v>
      </c>
      <c r="D160">
        <f t="shared" si="21"/>
        <v>-4.9999999999997158E-2</v>
      </c>
      <c r="E160">
        <f t="shared" si="22"/>
        <v>0</v>
      </c>
      <c r="F160">
        <f t="shared" si="23"/>
        <v>4.9999999999997158E-2</v>
      </c>
      <c r="G160">
        <f t="shared" si="24"/>
        <v>0.44714285714285701</v>
      </c>
      <c r="H160">
        <f t="shared" si="25"/>
        <v>0.17428571428571413</v>
      </c>
      <c r="I160">
        <f t="shared" si="26"/>
        <v>2.5655737704918047</v>
      </c>
      <c r="J160">
        <f t="shared" si="27"/>
        <v>71.954022988505756</v>
      </c>
      <c r="K160">
        <v>70</v>
      </c>
      <c r="L160">
        <v>30</v>
      </c>
    </row>
    <row r="161" spans="1:12" x14ac:dyDescent="0.35">
      <c r="A161" t="s">
        <v>161</v>
      </c>
      <c r="B161">
        <v>67.25</v>
      </c>
      <c r="C161">
        <f t="shared" si="20"/>
        <v>3.8736639617724237E-3</v>
      </c>
      <c r="D161">
        <f t="shared" si="21"/>
        <v>0.26000000000000512</v>
      </c>
      <c r="E161">
        <f t="shared" si="22"/>
        <v>0.26000000000000512</v>
      </c>
      <c r="F161">
        <f t="shared" si="23"/>
        <v>0</v>
      </c>
      <c r="G161">
        <f t="shared" si="24"/>
        <v>0.44714285714285701</v>
      </c>
      <c r="H161">
        <f t="shared" si="25"/>
        <v>0.20714285714285705</v>
      </c>
      <c r="I161">
        <f t="shared" si="26"/>
        <v>2.158620689655173</v>
      </c>
      <c r="J161">
        <f t="shared" si="27"/>
        <v>68.340611353711793</v>
      </c>
      <c r="K161">
        <v>70</v>
      </c>
      <c r="L161">
        <v>30</v>
      </c>
    </row>
    <row r="162" spans="1:12" x14ac:dyDescent="0.35">
      <c r="A162" t="s">
        <v>162</v>
      </c>
      <c r="B162">
        <v>66.989999999999995</v>
      </c>
      <c r="C162">
        <f t="shared" ref="C162:C187" si="28">LN(B162/B163)</f>
        <v>5.988938397645055E-3</v>
      </c>
      <c r="D162">
        <f t="shared" ref="D162:D187" si="29" xml:space="preserve"> B162 - B163</f>
        <v>0.39999999999999147</v>
      </c>
      <c r="E162">
        <f t="shared" si="22"/>
        <v>0.39999999999999147</v>
      </c>
      <c r="F162">
        <f t="shared" si="23"/>
        <v>0</v>
      </c>
      <c r="G162">
        <f t="shared" si="24"/>
        <v>0.43571428571428533</v>
      </c>
      <c r="H162">
        <f t="shared" si="25"/>
        <v>0.20714285714285705</v>
      </c>
      <c r="I162">
        <f t="shared" si="26"/>
        <v>2.1034482758620681</v>
      </c>
      <c r="J162">
        <f t="shared" si="27"/>
        <v>67.777777777777771</v>
      </c>
      <c r="K162">
        <v>70</v>
      </c>
      <c r="L162">
        <v>30</v>
      </c>
    </row>
    <row r="163" spans="1:12" x14ac:dyDescent="0.35">
      <c r="A163" t="s">
        <v>163</v>
      </c>
      <c r="B163">
        <v>66.59</v>
      </c>
      <c r="C163">
        <f t="shared" si="28"/>
        <v>-7.50581736056186E-4</v>
      </c>
      <c r="D163">
        <f t="shared" si="29"/>
        <v>-4.9999999999997158E-2</v>
      </c>
      <c r="E163">
        <f t="shared" si="22"/>
        <v>0</v>
      </c>
      <c r="F163">
        <f t="shared" si="23"/>
        <v>4.9999999999997158E-2</v>
      </c>
      <c r="G163">
        <f t="shared" si="24"/>
        <v>0.40714285714285736</v>
      </c>
      <c r="H163">
        <f t="shared" si="25"/>
        <v>0.20857142857142869</v>
      </c>
      <c r="I163">
        <f t="shared" si="26"/>
        <v>1.952054794520548</v>
      </c>
      <c r="J163">
        <f t="shared" si="27"/>
        <v>66.125290023201856</v>
      </c>
      <c r="K163">
        <v>70</v>
      </c>
      <c r="L163">
        <v>30</v>
      </c>
    </row>
    <row r="164" spans="1:12" x14ac:dyDescent="0.35">
      <c r="A164" t="s">
        <v>164</v>
      </c>
      <c r="B164">
        <v>66.64</v>
      </c>
      <c r="C164">
        <f t="shared" si="28"/>
        <v>-1.7846993625060419E-2</v>
      </c>
      <c r="D164">
        <f t="shared" si="29"/>
        <v>-1.2000000000000028</v>
      </c>
      <c r="E164">
        <f t="shared" si="22"/>
        <v>0</v>
      </c>
      <c r="F164">
        <f t="shared" si="23"/>
        <v>1.2000000000000028</v>
      </c>
      <c r="G164">
        <f t="shared" si="24"/>
        <v>0.4728571428571432</v>
      </c>
      <c r="H164">
        <f t="shared" si="25"/>
        <v>0.20500000000000032</v>
      </c>
      <c r="I164">
        <f t="shared" si="26"/>
        <v>2.3066202090592314</v>
      </c>
      <c r="J164">
        <f t="shared" si="27"/>
        <v>69.757639620653293</v>
      </c>
      <c r="K164">
        <v>70</v>
      </c>
      <c r="L164">
        <v>30</v>
      </c>
    </row>
    <row r="165" spans="1:12" x14ac:dyDescent="0.35">
      <c r="A165" t="s">
        <v>165</v>
      </c>
      <c r="B165">
        <v>67.84</v>
      </c>
      <c r="C165">
        <f t="shared" si="28"/>
        <v>1.9950043821839139E-2</v>
      </c>
      <c r="D165">
        <f t="shared" si="29"/>
        <v>1.3400000000000034</v>
      </c>
      <c r="E165">
        <f t="shared" si="22"/>
        <v>1.3400000000000034</v>
      </c>
      <c r="F165">
        <f t="shared" si="23"/>
        <v>0</v>
      </c>
      <c r="G165">
        <f t="shared" si="24"/>
        <v>0.53285714285714347</v>
      </c>
      <c r="H165">
        <f t="shared" si="25"/>
        <v>0.11928571428571441</v>
      </c>
      <c r="I165">
        <f t="shared" si="26"/>
        <v>4.4670658682634734</v>
      </c>
      <c r="J165">
        <f t="shared" si="27"/>
        <v>81.708652792990137</v>
      </c>
      <c r="K165">
        <v>70</v>
      </c>
      <c r="L165">
        <v>30</v>
      </c>
    </row>
    <row r="166" spans="1:12" x14ac:dyDescent="0.35">
      <c r="A166" t="s">
        <v>166</v>
      </c>
      <c r="B166">
        <v>66.5</v>
      </c>
      <c r="C166">
        <f t="shared" si="28"/>
        <v>1.8209911379423169E-2</v>
      </c>
      <c r="D166">
        <f t="shared" si="29"/>
        <v>1.2000000000000028</v>
      </c>
      <c r="E166">
        <f t="shared" si="22"/>
        <v>1.2000000000000028</v>
      </c>
      <c r="F166">
        <f t="shared" si="23"/>
        <v>0</v>
      </c>
      <c r="G166">
        <f t="shared" si="24"/>
        <v>0.43714285714285744</v>
      </c>
      <c r="H166">
        <f t="shared" si="25"/>
        <v>0.13928571428571448</v>
      </c>
      <c r="I166">
        <f t="shared" si="26"/>
        <v>3.1384615384615362</v>
      </c>
      <c r="J166">
        <f t="shared" si="27"/>
        <v>75.836431226765782</v>
      </c>
      <c r="K166">
        <v>70</v>
      </c>
      <c r="L166">
        <v>30</v>
      </c>
    </row>
    <row r="167" spans="1:12" x14ac:dyDescent="0.35">
      <c r="A167" t="s">
        <v>167</v>
      </c>
      <c r="B167">
        <v>65.3</v>
      </c>
      <c r="C167">
        <f t="shared" si="28"/>
        <v>-1.3990495836714868E-2</v>
      </c>
      <c r="D167">
        <f t="shared" si="29"/>
        <v>-0.92000000000000171</v>
      </c>
      <c r="E167">
        <f t="shared" si="22"/>
        <v>0</v>
      </c>
      <c r="F167">
        <f t="shared" si="23"/>
        <v>0.92000000000000171</v>
      </c>
      <c r="G167">
        <f t="shared" si="24"/>
        <v>0.39357142857142841</v>
      </c>
      <c r="H167">
        <f t="shared" si="25"/>
        <v>0.13928571428571448</v>
      </c>
      <c r="I167">
        <f t="shared" si="26"/>
        <v>2.8256410256410205</v>
      </c>
      <c r="J167">
        <f t="shared" si="27"/>
        <v>73.860589812332407</v>
      </c>
      <c r="K167">
        <v>70</v>
      </c>
      <c r="L167">
        <v>30</v>
      </c>
    </row>
    <row r="168" spans="1:12" x14ac:dyDescent="0.35">
      <c r="A168" t="s">
        <v>168</v>
      </c>
      <c r="B168">
        <v>66.22</v>
      </c>
      <c r="C168">
        <f t="shared" si="28"/>
        <v>1.2613190545915623E-2</v>
      </c>
      <c r="D168">
        <f t="shared" si="29"/>
        <v>0.82999999999999829</v>
      </c>
      <c r="E168">
        <f t="shared" si="22"/>
        <v>0.82999999999999829</v>
      </c>
      <c r="F168">
        <f t="shared" si="23"/>
        <v>0</v>
      </c>
      <c r="G168">
        <f t="shared" si="24"/>
        <v>0.41214285714285737</v>
      </c>
      <c r="H168">
        <f t="shared" si="25"/>
        <v>7.3571428571428649E-2</v>
      </c>
      <c r="I168">
        <f t="shared" si="26"/>
        <v>5.6019417475728126</v>
      </c>
      <c r="J168">
        <f t="shared" si="27"/>
        <v>84.85294117647058</v>
      </c>
      <c r="K168">
        <v>70</v>
      </c>
      <c r="L168">
        <v>30</v>
      </c>
    </row>
    <row r="169" spans="1:12" x14ac:dyDescent="0.35">
      <c r="A169" t="s">
        <v>169</v>
      </c>
      <c r="B169">
        <v>65.39</v>
      </c>
      <c r="C169">
        <f t="shared" si="28"/>
        <v>-3.3587817836015694E-3</v>
      </c>
      <c r="D169">
        <f t="shared" si="29"/>
        <v>-0.21999999999999886</v>
      </c>
      <c r="E169">
        <f t="shared" si="22"/>
        <v>0</v>
      </c>
      <c r="F169">
        <f t="shared" si="23"/>
        <v>0.21999999999999886</v>
      </c>
      <c r="G169">
        <f t="shared" si="24"/>
        <v>0.36285714285714271</v>
      </c>
      <c r="H169">
        <f t="shared" si="25"/>
        <v>7.3571428571428649E-2</v>
      </c>
      <c r="I169">
        <f t="shared" si="26"/>
        <v>4.9320388349514488</v>
      </c>
      <c r="J169">
        <f t="shared" si="27"/>
        <v>83.14238952536823</v>
      </c>
      <c r="K169">
        <v>70</v>
      </c>
      <c r="L169">
        <v>30</v>
      </c>
    </row>
    <row r="170" spans="1:12" x14ac:dyDescent="0.35">
      <c r="A170" t="s">
        <v>170</v>
      </c>
      <c r="B170">
        <v>65.61</v>
      </c>
      <c r="C170">
        <f t="shared" si="28"/>
        <v>1.4740018138919633E-2</v>
      </c>
      <c r="D170">
        <f t="shared" si="29"/>
        <v>0.95999999999999375</v>
      </c>
      <c r="E170">
        <f t="shared" si="22"/>
        <v>0.95999999999999375</v>
      </c>
      <c r="F170">
        <f t="shared" si="23"/>
        <v>0</v>
      </c>
      <c r="G170">
        <f t="shared" si="24"/>
        <v>0.36285714285714271</v>
      </c>
      <c r="H170">
        <f t="shared" si="25"/>
        <v>7.7142857142857027E-2</v>
      </c>
      <c r="I170">
        <f t="shared" si="26"/>
        <v>4.7037037037037086</v>
      </c>
      <c r="J170">
        <f t="shared" si="27"/>
        <v>82.467532467532479</v>
      </c>
      <c r="K170">
        <v>70</v>
      </c>
      <c r="L170">
        <v>30</v>
      </c>
    </row>
    <row r="171" spans="1:12" x14ac:dyDescent="0.35">
      <c r="A171" t="s">
        <v>171</v>
      </c>
      <c r="B171">
        <v>64.650000000000006</v>
      </c>
      <c r="C171">
        <f t="shared" si="28"/>
        <v>4.0297636677744221E-3</v>
      </c>
      <c r="D171">
        <f t="shared" si="29"/>
        <v>0.26000000000000512</v>
      </c>
      <c r="E171">
        <f t="shared" si="22"/>
        <v>0.26000000000000512</v>
      </c>
      <c r="F171">
        <f t="shared" si="23"/>
        <v>0</v>
      </c>
      <c r="G171">
        <f t="shared" si="24"/>
        <v>0.29428571428571459</v>
      </c>
      <c r="H171">
        <f t="shared" si="25"/>
        <v>0.13285714285714281</v>
      </c>
      <c r="I171">
        <f t="shared" si="26"/>
        <v>2.2150537634408631</v>
      </c>
      <c r="J171">
        <f t="shared" si="27"/>
        <v>68.896321070234137</v>
      </c>
      <c r="K171">
        <v>70</v>
      </c>
      <c r="L171">
        <v>30</v>
      </c>
    </row>
    <row r="172" spans="1:12" x14ac:dyDescent="0.35">
      <c r="A172" t="s">
        <v>172</v>
      </c>
      <c r="B172">
        <v>64.39</v>
      </c>
      <c r="C172">
        <f t="shared" si="28"/>
        <v>1.2973999881576917E-2</v>
      </c>
      <c r="D172">
        <f t="shared" si="29"/>
        <v>0.82999999999999829</v>
      </c>
      <c r="E172">
        <f t="shared" si="22"/>
        <v>0.82999999999999829</v>
      </c>
      <c r="F172">
        <f t="shared" si="23"/>
        <v>0</v>
      </c>
      <c r="G172">
        <f t="shared" si="24"/>
        <v>0.30571428571428577</v>
      </c>
      <c r="H172">
        <f t="shared" si="25"/>
        <v>0.13285714285714281</v>
      </c>
      <c r="I172">
        <f t="shared" si="26"/>
        <v>2.3010752688172054</v>
      </c>
      <c r="J172">
        <f t="shared" si="27"/>
        <v>69.706840390879492</v>
      </c>
      <c r="K172">
        <v>70</v>
      </c>
      <c r="L172">
        <v>30</v>
      </c>
    </row>
    <row r="173" spans="1:12" x14ac:dyDescent="0.35">
      <c r="A173" t="s">
        <v>173</v>
      </c>
      <c r="B173">
        <v>63.56</v>
      </c>
      <c r="C173">
        <f t="shared" si="28"/>
        <v>2.8359874057405101E-3</v>
      </c>
      <c r="D173">
        <f t="shared" si="29"/>
        <v>0.17999999999999972</v>
      </c>
      <c r="E173">
        <f t="shared" si="22"/>
        <v>0.17999999999999972</v>
      </c>
      <c r="F173">
        <f t="shared" si="23"/>
        <v>0</v>
      </c>
      <c r="G173">
        <f t="shared" si="24"/>
        <v>0.25928571428571445</v>
      </c>
      <c r="H173">
        <f t="shared" si="25"/>
        <v>0.13285714285714281</v>
      </c>
      <c r="I173">
        <f t="shared" si="26"/>
        <v>1.9516129032258083</v>
      </c>
      <c r="J173">
        <f t="shared" si="27"/>
        <v>66.120218579235001</v>
      </c>
      <c r="K173">
        <v>70</v>
      </c>
      <c r="L173">
        <v>30</v>
      </c>
    </row>
    <row r="174" spans="1:12" x14ac:dyDescent="0.35">
      <c r="A174" t="s">
        <v>174</v>
      </c>
      <c r="B174">
        <v>63.38</v>
      </c>
      <c r="C174">
        <f t="shared" si="28"/>
        <v>-8.0145003514772144E-3</v>
      </c>
      <c r="D174">
        <f t="shared" si="29"/>
        <v>-0.50999999999999801</v>
      </c>
      <c r="E174">
        <f t="shared" si="22"/>
        <v>0</v>
      </c>
      <c r="F174">
        <f t="shared" si="23"/>
        <v>0.50999999999999801</v>
      </c>
      <c r="G174">
        <f t="shared" si="24"/>
        <v>0.24642857142857164</v>
      </c>
      <c r="H174">
        <f t="shared" si="25"/>
        <v>0.14214285714285729</v>
      </c>
      <c r="I174">
        <f t="shared" si="26"/>
        <v>1.7336683417085423</v>
      </c>
      <c r="J174">
        <f t="shared" si="27"/>
        <v>63.419117647058819</v>
      </c>
      <c r="K174">
        <v>70</v>
      </c>
      <c r="L174">
        <v>30</v>
      </c>
    </row>
    <row r="175" spans="1:12" x14ac:dyDescent="0.35">
      <c r="A175" t="s">
        <v>175</v>
      </c>
      <c r="B175">
        <v>63.89</v>
      </c>
      <c r="C175">
        <f t="shared" si="28"/>
        <v>1.5664163603879037E-3</v>
      </c>
      <c r="D175">
        <f t="shared" si="29"/>
        <v>0.10000000000000142</v>
      </c>
      <c r="E175">
        <f t="shared" si="22"/>
        <v>0.10000000000000142</v>
      </c>
      <c r="F175">
        <f t="shared" si="23"/>
        <v>0</v>
      </c>
      <c r="G175">
        <f t="shared" si="24"/>
        <v>0.26538461538461561</v>
      </c>
      <c r="H175">
        <f t="shared" si="25"/>
        <v>0.11384615384615415</v>
      </c>
      <c r="I175">
        <f t="shared" si="26"/>
        <v>2.3310810810810767</v>
      </c>
      <c r="J175">
        <f t="shared" si="27"/>
        <v>69.979716024340732</v>
      </c>
      <c r="K175">
        <v>70</v>
      </c>
      <c r="L175">
        <v>30</v>
      </c>
    </row>
    <row r="176" spans="1:12" x14ac:dyDescent="0.35">
      <c r="A176" t="s">
        <v>176</v>
      </c>
      <c r="B176">
        <v>63.79</v>
      </c>
      <c r="C176">
        <f t="shared" si="28"/>
        <v>-3.1347962639157411E-4</v>
      </c>
      <c r="D176">
        <f t="shared" si="29"/>
        <v>-2.0000000000003126E-2</v>
      </c>
      <c r="E176">
        <f t="shared" si="22"/>
        <v>0</v>
      </c>
      <c r="F176">
        <f t="shared" si="23"/>
        <v>2.0000000000003126E-2</v>
      </c>
      <c r="G176">
        <f t="shared" si="24"/>
        <v>0.27916666666666679</v>
      </c>
      <c r="H176">
        <f t="shared" si="25"/>
        <v>0.12333333333333367</v>
      </c>
      <c r="I176">
        <f t="shared" si="26"/>
        <v>2.2635135135135083</v>
      </c>
      <c r="J176">
        <f t="shared" si="27"/>
        <v>69.358178053830187</v>
      </c>
      <c r="K176">
        <v>70</v>
      </c>
      <c r="L176">
        <v>30</v>
      </c>
    </row>
    <row r="177" spans="1:12" x14ac:dyDescent="0.35">
      <c r="A177" t="s">
        <v>177</v>
      </c>
      <c r="B177">
        <v>63.81</v>
      </c>
      <c r="C177">
        <f t="shared" si="28"/>
        <v>1.4522749324843494E-2</v>
      </c>
      <c r="D177">
        <f t="shared" si="29"/>
        <v>0.92000000000000171</v>
      </c>
      <c r="E177">
        <f t="shared" si="22"/>
        <v>0.92000000000000171</v>
      </c>
      <c r="F177">
        <f t="shared" si="23"/>
        <v>0</v>
      </c>
      <c r="G177">
        <f t="shared" si="24"/>
        <v>0.30454545454545467</v>
      </c>
      <c r="H177">
        <f t="shared" si="25"/>
        <v>0.1327272727272728</v>
      </c>
      <c r="I177">
        <f t="shared" si="26"/>
        <v>2.2945205479452051</v>
      </c>
      <c r="J177">
        <f t="shared" si="27"/>
        <v>69.646569646569645</v>
      </c>
      <c r="K177">
        <v>70</v>
      </c>
      <c r="L177">
        <v>30</v>
      </c>
    </row>
    <row r="178" spans="1:12" x14ac:dyDescent="0.35">
      <c r="A178" t="s">
        <v>178</v>
      </c>
      <c r="B178">
        <v>62.89</v>
      </c>
      <c r="C178">
        <f t="shared" si="28"/>
        <v>1.3446656904795786E-2</v>
      </c>
      <c r="D178">
        <f t="shared" si="29"/>
        <v>0.84000000000000341</v>
      </c>
      <c r="E178">
        <f t="shared" si="22"/>
        <v>0.84000000000000341</v>
      </c>
      <c r="F178">
        <f t="shared" si="23"/>
        <v>0</v>
      </c>
      <c r="G178">
        <f t="shared" si="24"/>
        <v>0.24299999999999997</v>
      </c>
      <c r="H178">
        <f t="shared" si="25"/>
        <v>0.14600000000000007</v>
      </c>
      <c r="I178">
        <f t="shared" si="26"/>
        <v>1.6643835616438345</v>
      </c>
      <c r="J178">
        <f t="shared" si="27"/>
        <v>62.467866323907437</v>
      </c>
      <c r="K178">
        <v>70</v>
      </c>
      <c r="L178">
        <v>30</v>
      </c>
    </row>
    <row r="179" spans="1:12" x14ac:dyDescent="0.35">
      <c r="A179" t="s">
        <v>179</v>
      </c>
      <c r="B179">
        <v>62.05</v>
      </c>
      <c r="C179">
        <f t="shared" si="28"/>
        <v>-4.5023391701430526E-3</v>
      </c>
      <c r="D179">
        <f t="shared" si="29"/>
        <v>-0.28000000000000114</v>
      </c>
      <c r="E179">
        <f t="shared" si="22"/>
        <v>0</v>
      </c>
      <c r="F179">
        <f t="shared" si="23"/>
        <v>0.28000000000000114</v>
      </c>
      <c r="G179">
        <f t="shared" si="24"/>
        <v>0.17666666666666625</v>
      </c>
      <c r="H179">
        <f t="shared" si="25"/>
        <v>0.16222222222222232</v>
      </c>
      <c r="I179">
        <f t="shared" si="26"/>
        <v>1.0890410958904078</v>
      </c>
      <c r="J179">
        <f t="shared" si="27"/>
        <v>52.131147540983527</v>
      </c>
      <c r="K179">
        <v>70</v>
      </c>
      <c r="L179">
        <v>30</v>
      </c>
    </row>
    <row r="180" spans="1:12" x14ac:dyDescent="0.35">
      <c r="A180" t="s">
        <v>180</v>
      </c>
      <c r="B180">
        <v>62.33</v>
      </c>
      <c r="C180">
        <f t="shared" si="28"/>
        <v>9.5108317467459368E-3</v>
      </c>
      <c r="D180">
        <f t="shared" si="29"/>
        <v>0.58999999999999631</v>
      </c>
      <c r="E180">
        <f t="shared" si="22"/>
        <v>0.58999999999999631</v>
      </c>
      <c r="F180">
        <f t="shared" si="23"/>
        <v>0</v>
      </c>
      <c r="G180">
        <f t="shared" si="24"/>
        <v>0.19874999999999954</v>
      </c>
      <c r="H180">
        <f t="shared" si="25"/>
        <v>0.14749999999999996</v>
      </c>
      <c r="I180">
        <f t="shared" si="26"/>
        <v>1.3474576271186414</v>
      </c>
      <c r="J180">
        <f t="shared" si="27"/>
        <v>57.400722021660599</v>
      </c>
      <c r="K180">
        <v>70</v>
      </c>
      <c r="L180">
        <v>30</v>
      </c>
    </row>
    <row r="181" spans="1:12" x14ac:dyDescent="0.35">
      <c r="A181" t="s">
        <v>181</v>
      </c>
      <c r="B181">
        <v>61.74</v>
      </c>
      <c r="C181">
        <f t="shared" si="28"/>
        <v>4.2201004036181381E-3</v>
      </c>
      <c r="D181">
        <f t="shared" si="29"/>
        <v>0.26000000000000512</v>
      </c>
      <c r="E181">
        <f t="shared" si="22"/>
        <v>0.26000000000000512</v>
      </c>
      <c r="F181">
        <f t="shared" si="23"/>
        <v>0</v>
      </c>
      <c r="G181">
        <f t="shared" si="24"/>
        <v>0.14285714285714285</v>
      </c>
      <c r="H181">
        <f t="shared" si="25"/>
        <v>0.16857142857142854</v>
      </c>
      <c r="I181">
        <f t="shared" si="26"/>
        <v>0.84745762711864414</v>
      </c>
      <c r="J181">
        <f t="shared" si="27"/>
        <v>45.871559633027523</v>
      </c>
      <c r="K181">
        <v>70</v>
      </c>
      <c r="L181">
        <v>30</v>
      </c>
    </row>
    <row r="182" spans="1:12" x14ac:dyDescent="0.35">
      <c r="A182" t="s">
        <v>182</v>
      </c>
      <c r="B182">
        <v>61.48</v>
      </c>
      <c r="C182">
        <f t="shared" si="28"/>
        <v>2.2797599842894947E-3</v>
      </c>
      <c r="D182">
        <f t="shared" si="29"/>
        <v>0.13999999999999346</v>
      </c>
      <c r="E182">
        <f t="shared" si="22"/>
        <v>0.13999999999999346</v>
      </c>
      <c r="F182">
        <f t="shared" si="23"/>
        <v>0</v>
      </c>
      <c r="G182">
        <f t="shared" si="24"/>
        <v>0.12333333333333248</v>
      </c>
      <c r="H182">
        <f t="shared" si="25"/>
        <v>0.19666666666666663</v>
      </c>
      <c r="I182">
        <f t="shared" si="26"/>
        <v>0.62711864406779239</v>
      </c>
      <c r="J182">
        <f t="shared" si="27"/>
        <v>38.541666666666501</v>
      </c>
      <c r="K182">
        <v>70</v>
      </c>
      <c r="L182">
        <v>30</v>
      </c>
    </row>
    <row r="183" spans="1:12" x14ac:dyDescent="0.35">
      <c r="A183" t="s">
        <v>183</v>
      </c>
      <c r="B183">
        <v>61.34</v>
      </c>
      <c r="C183">
        <f t="shared" si="28"/>
        <v>-4.3920363403738231E-3</v>
      </c>
      <c r="D183">
        <f t="shared" si="29"/>
        <v>-0.26999999999999602</v>
      </c>
      <c r="E183">
        <f t="shared" si="22"/>
        <v>0</v>
      </c>
      <c r="F183">
        <f t="shared" si="23"/>
        <v>0.26999999999999602</v>
      </c>
      <c r="G183">
        <f t="shared" si="24"/>
        <v>0.12000000000000029</v>
      </c>
      <c r="H183">
        <f t="shared" si="25"/>
        <v>0.23599999999999993</v>
      </c>
      <c r="I183">
        <f t="shared" si="26"/>
        <v>0.50847457627118775</v>
      </c>
      <c r="J183">
        <f t="shared" si="27"/>
        <v>33.707865168539385</v>
      </c>
      <c r="K183">
        <v>70</v>
      </c>
      <c r="L183">
        <v>30</v>
      </c>
    </row>
    <row r="184" spans="1:12" x14ac:dyDescent="0.35">
      <c r="A184" t="s">
        <v>184</v>
      </c>
      <c r="B184">
        <v>61.61</v>
      </c>
      <c r="C184">
        <f t="shared" si="28"/>
        <v>-1.2580811096215647E-2</v>
      </c>
      <c r="D184">
        <f t="shared" si="29"/>
        <v>-0.78000000000000114</v>
      </c>
      <c r="E184">
        <f t="shared" si="22"/>
        <v>0</v>
      </c>
      <c r="F184">
        <f t="shared" si="23"/>
        <v>0.78000000000000114</v>
      </c>
      <c r="G184">
        <f t="shared" si="24"/>
        <v>0.15000000000000036</v>
      </c>
      <c r="H184">
        <f t="shared" si="25"/>
        <v>0.22750000000000092</v>
      </c>
      <c r="I184">
        <f t="shared" si="26"/>
        <v>0.65934065934065822</v>
      </c>
      <c r="J184">
        <f t="shared" si="27"/>
        <v>39.735099337748309</v>
      </c>
      <c r="K184">
        <v>70</v>
      </c>
      <c r="L184">
        <v>30</v>
      </c>
    </row>
    <row r="185" spans="1:12" x14ac:dyDescent="0.35">
      <c r="A185" t="s">
        <v>185</v>
      </c>
      <c r="B185">
        <v>62.39</v>
      </c>
      <c r="C185">
        <f t="shared" si="28"/>
        <v>6.7546091486788912E-3</v>
      </c>
      <c r="D185">
        <f t="shared" si="29"/>
        <v>0.42000000000000171</v>
      </c>
      <c r="E185">
        <f t="shared" si="22"/>
        <v>0.42000000000000171</v>
      </c>
      <c r="F185">
        <f t="shared" si="23"/>
        <v>0</v>
      </c>
      <c r="G185">
        <f t="shared" si="24"/>
        <v>0.20000000000000048</v>
      </c>
      <c r="H185">
        <f t="shared" si="25"/>
        <v>4.3333333333334188E-2</v>
      </c>
      <c r="I185">
        <f t="shared" si="26"/>
        <v>4.615384615384535</v>
      </c>
      <c r="J185">
        <f t="shared" si="27"/>
        <v>82.191780821917547</v>
      </c>
      <c r="K185">
        <v>70</v>
      </c>
      <c r="L185">
        <v>30</v>
      </c>
    </row>
    <row r="186" spans="1:12" x14ac:dyDescent="0.35">
      <c r="A186" t="s">
        <v>186</v>
      </c>
      <c r="B186">
        <v>61.97</v>
      </c>
      <c r="C186">
        <f t="shared" si="28"/>
        <v>2.9088579011278893E-3</v>
      </c>
      <c r="D186">
        <f t="shared" si="29"/>
        <v>0.17999999999999972</v>
      </c>
      <c r="E186">
        <f t="shared" si="22"/>
        <v>0.17999999999999972</v>
      </c>
      <c r="F186">
        <f t="shared" si="23"/>
        <v>0</v>
      </c>
      <c r="G186">
        <f t="shared" si="24"/>
        <v>8.9999999999999858E-2</v>
      </c>
      <c r="H186">
        <f t="shared" si="25"/>
        <v>6.5000000000001279E-2</v>
      </c>
      <c r="I186">
        <f t="shared" si="26"/>
        <v>1.3846153846153553</v>
      </c>
      <c r="J186">
        <f t="shared" si="27"/>
        <v>58.064516129031745</v>
      </c>
      <c r="K186">
        <v>70</v>
      </c>
      <c r="L186">
        <v>30</v>
      </c>
    </row>
    <row r="187" spans="1:12" x14ac:dyDescent="0.35">
      <c r="A187" t="s">
        <v>187</v>
      </c>
      <c r="B187">
        <v>61.79</v>
      </c>
      <c r="C187">
        <f t="shared" si="28"/>
        <v>-2.1016902085835704E-3</v>
      </c>
      <c r="D187">
        <f t="shared" si="29"/>
        <v>-0.13000000000000256</v>
      </c>
      <c r="E187">
        <f t="shared" si="22"/>
        <v>0</v>
      </c>
      <c r="F187">
        <f t="shared" si="23"/>
        <v>0.13000000000000256</v>
      </c>
      <c r="G187">
        <f t="shared" si="24"/>
        <v>0</v>
      </c>
      <c r="H187">
        <f t="shared" si="25"/>
        <v>0.13000000000000256</v>
      </c>
      <c r="I187">
        <f t="shared" si="26"/>
        <v>0</v>
      </c>
      <c r="J187">
        <f t="shared" si="27"/>
        <v>0</v>
      </c>
      <c r="K187">
        <v>70</v>
      </c>
      <c r="L187">
        <v>30</v>
      </c>
    </row>
    <row r="188" spans="1:12" x14ac:dyDescent="0.35">
      <c r="A188" t="s">
        <v>188</v>
      </c>
      <c r="B188">
        <v>61.92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721C7-055D-45EC-A238-F670225E31E6}">
  <sheetPr codeName="Sheet4"/>
  <dimension ref="A1:G188"/>
  <sheetViews>
    <sheetView topLeftCell="E1" workbookViewId="0">
      <selection activeCell="J2" sqref="J2"/>
    </sheetView>
  </sheetViews>
  <sheetFormatPr defaultRowHeight="14.5" x14ac:dyDescent="0.35"/>
  <cols>
    <col min="1" max="1" width="14.453125" customWidth="1"/>
    <col min="2" max="2" width="16.6328125" customWidth="1"/>
    <col min="3" max="3" width="21.453125" customWidth="1"/>
    <col min="4" max="4" width="26.1796875" customWidth="1"/>
    <col min="5" max="5" width="25.26953125" customWidth="1"/>
    <col min="6" max="6" width="14.54296875" customWidth="1"/>
    <col min="7" max="7" width="14.453125" customWidth="1"/>
  </cols>
  <sheetData>
    <row r="1" spans="1:7" x14ac:dyDescent="0.35">
      <c r="A1" t="s">
        <v>0</v>
      </c>
      <c r="B1" t="s">
        <v>214</v>
      </c>
      <c r="C1" t="s">
        <v>194</v>
      </c>
      <c r="D1" t="s">
        <v>215</v>
      </c>
      <c r="E1" t="s">
        <v>216</v>
      </c>
      <c r="F1" t="s">
        <v>217</v>
      </c>
      <c r="G1" t="s">
        <v>218</v>
      </c>
    </row>
    <row r="2" spans="1:7" x14ac:dyDescent="0.35">
      <c r="A2" t="s">
        <v>2</v>
      </c>
      <c r="B2">
        <v>70.37</v>
      </c>
      <c r="C2">
        <f t="shared" ref="C2:C33" si="0">LN(B2/B3)</f>
        <v>-5.2441477988769145E-3</v>
      </c>
      <c r="D2">
        <f xml:space="preserve"> AVERAGE(B2:B21)</f>
        <v>69.854500000000002</v>
      </c>
      <c r="E2">
        <f xml:space="preserve"> _xlfn.STDEV.S(B2:B21)</f>
        <v>0.82178544388999397</v>
      </c>
      <c r="F2">
        <f xml:space="preserve"> D2 + (2 * E2)</f>
        <v>71.498070887779988</v>
      </c>
      <c r="G2">
        <f xml:space="preserve"> D2 - (2 * E2)</f>
        <v>68.210929112220015</v>
      </c>
    </row>
    <row r="3" spans="1:7" x14ac:dyDescent="0.35">
      <c r="A3" t="s">
        <v>3</v>
      </c>
      <c r="B3">
        <v>70.739999999999995</v>
      </c>
      <c r="C3">
        <f t="shared" si="0"/>
        <v>1.0230268250814823E-2</v>
      </c>
      <c r="D3">
        <f t="shared" ref="D3:D66" si="1" xml:space="preserve"> AVERAGE(B3:B22)</f>
        <v>69.870500000000007</v>
      </c>
      <c r="E3">
        <f t="shared" ref="E3:E66" si="2" xml:space="preserve"> _xlfn.STDEV.S(B3:B22)</f>
        <v>0.83535353373035415</v>
      </c>
      <c r="F3">
        <f t="shared" ref="F3:F66" si="3" xml:space="preserve"> D3 + (2 * E3)</f>
        <v>71.541207067460718</v>
      </c>
      <c r="G3">
        <f t="shared" ref="G3:G66" si="4" xml:space="preserve"> D3 - (2 * E3)</f>
        <v>68.199792932539296</v>
      </c>
    </row>
    <row r="4" spans="1:7" x14ac:dyDescent="0.35">
      <c r="A4" t="s">
        <v>4</v>
      </c>
      <c r="B4">
        <v>70.02</v>
      </c>
      <c r="C4">
        <f t="shared" si="0"/>
        <v>1.74318323121311E-2</v>
      </c>
      <c r="D4">
        <f t="shared" si="1"/>
        <v>69.850999999999985</v>
      </c>
      <c r="E4">
        <f t="shared" si="2"/>
        <v>0.81836743774290965</v>
      </c>
      <c r="F4">
        <f t="shared" si="3"/>
        <v>71.487734875485799</v>
      </c>
      <c r="G4">
        <f t="shared" si="4"/>
        <v>68.214265124514171</v>
      </c>
    </row>
    <row r="5" spans="1:7" x14ac:dyDescent="0.35">
      <c r="A5" t="s">
        <v>5</v>
      </c>
      <c r="B5">
        <v>68.81</v>
      </c>
      <c r="C5">
        <f t="shared" si="0"/>
        <v>-2.0325210249223578E-3</v>
      </c>
      <c r="D5">
        <f t="shared" si="1"/>
        <v>69.86399999999999</v>
      </c>
      <c r="E5">
        <f t="shared" si="2"/>
        <v>0.82324390451177365</v>
      </c>
      <c r="F5">
        <f t="shared" si="3"/>
        <v>71.510487809023545</v>
      </c>
      <c r="G5">
        <f t="shared" si="4"/>
        <v>68.217512190976436</v>
      </c>
    </row>
    <row r="6" spans="1:7" x14ac:dyDescent="0.35">
      <c r="A6" t="s">
        <v>6</v>
      </c>
      <c r="B6">
        <v>68.95</v>
      </c>
      <c r="C6">
        <f t="shared" si="0"/>
        <v>4.0691816067257493E-3</v>
      </c>
      <c r="D6">
        <f t="shared" si="1"/>
        <v>69.971999999999994</v>
      </c>
      <c r="E6">
        <f t="shared" si="2"/>
        <v>0.81936817763830483</v>
      </c>
      <c r="F6">
        <f t="shared" si="3"/>
        <v>71.6107363552766</v>
      </c>
      <c r="G6">
        <f t="shared" si="4"/>
        <v>68.333263644723388</v>
      </c>
    </row>
    <row r="7" spans="1:7" x14ac:dyDescent="0.35">
      <c r="A7" t="s">
        <v>7</v>
      </c>
      <c r="B7">
        <v>68.67</v>
      </c>
      <c r="C7">
        <f t="shared" si="0"/>
        <v>-1.5031356865722214E-2</v>
      </c>
      <c r="D7">
        <f t="shared" si="1"/>
        <v>70.027999999999992</v>
      </c>
      <c r="E7">
        <f t="shared" si="2"/>
        <v>0.78332355350371352</v>
      </c>
      <c r="F7">
        <f t="shared" si="3"/>
        <v>71.594647107007418</v>
      </c>
      <c r="G7">
        <f t="shared" si="4"/>
        <v>68.461352892992565</v>
      </c>
    </row>
    <row r="8" spans="1:7" x14ac:dyDescent="0.35">
      <c r="A8" t="s">
        <v>8</v>
      </c>
      <c r="B8">
        <v>69.709999999999994</v>
      </c>
      <c r="C8">
        <f t="shared" si="0"/>
        <v>6.1875152441275838E-3</v>
      </c>
      <c r="D8">
        <f t="shared" si="1"/>
        <v>70.135999999999996</v>
      </c>
      <c r="E8">
        <f t="shared" si="2"/>
        <v>0.73355945477119422</v>
      </c>
      <c r="F8">
        <f t="shared" si="3"/>
        <v>71.603118909542388</v>
      </c>
      <c r="G8">
        <f t="shared" si="4"/>
        <v>68.668881090457603</v>
      </c>
    </row>
    <row r="9" spans="1:7" x14ac:dyDescent="0.35">
      <c r="A9" t="s">
        <v>9</v>
      </c>
      <c r="B9">
        <v>69.28</v>
      </c>
      <c r="C9">
        <f t="shared" si="0"/>
        <v>-1.4423772874238385E-3</v>
      </c>
      <c r="D9">
        <f t="shared" si="1"/>
        <v>70.126999999999981</v>
      </c>
      <c r="E9">
        <f t="shared" si="2"/>
        <v>0.74013583390589865</v>
      </c>
      <c r="F9">
        <f t="shared" si="3"/>
        <v>71.607271667811773</v>
      </c>
      <c r="G9">
        <f t="shared" si="4"/>
        <v>68.646728332188189</v>
      </c>
    </row>
    <row r="10" spans="1:7" x14ac:dyDescent="0.35">
      <c r="A10" t="s">
        <v>10</v>
      </c>
      <c r="B10">
        <v>69.38</v>
      </c>
      <c r="C10">
        <f t="shared" si="0"/>
        <v>-1.0609418511430276E-2</v>
      </c>
      <c r="D10">
        <f t="shared" si="1"/>
        <v>70.140999999999991</v>
      </c>
      <c r="E10">
        <f t="shared" si="2"/>
        <v>0.72578016100280951</v>
      </c>
      <c r="F10">
        <f t="shared" si="3"/>
        <v>71.59256032200561</v>
      </c>
      <c r="G10">
        <f t="shared" si="4"/>
        <v>68.689439677994372</v>
      </c>
    </row>
    <row r="11" spans="1:7" x14ac:dyDescent="0.35">
      <c r="A11" t="s">
        <v>11</v>
      </c>
      <c r="B11">
        <v>70.12</v>
      </c>
      <c r="C11">
        <f t="shared" si="0"/>
        <v>1.3785399237944064E-2</v>
      </c>
      <c r="D11">
        <f t="shared" si="1"/>
        <v>70.098999999999975</v>
      </c>
      <c r="E11">
        <f t="shared" si="2"/>
        <v>0.7933002351933941</v>
      </c>
      <c r="F11">
        <f t="shared" si="3"/>
        <v>71.68560047038676</v>
      </c>
      <c r="G11">
        <f t="shared" si="4"/>
        <v>68.512399529613191</v>
      </c>
    </row>
    <row r="12" spans="1:7" x14ac:dyDescent="0.35">
      <c r="A12" t="s">
        <v>12</v>
      </c>
      <c r="B12">
        <v>69.16</v>
      </c>
      <c r="C12">
        <f t="shared" si="0"/>
        <v>7.2322271178681431E-4</v>
      </c>
      <c r="D12">
        <f t="shared" si="1"/>
        <v>70.011499999999998</v>
      </c>
      <c r="E12">
        <f t="shared" si="2"/>
        <v>0.88237284755666756</v>
      </c>
      <c r="F12">
        <f t="shared" si="3"/>
        <v>71.776245695113332</v>
      </c>
      <c r="G12">
        <f t="shared" si="4"/>
        <v>68.246754304886664</v>
      </c>
    </row>
    <row r="13" spans="1:7" x14ac:dyDescent="0.35">
      <c r="A13" t="s">
        <v>13</v>
      </c>
      <c r="B13">
        <v>69.11</v>
      </c>
      <c r="C13">
        <f t="shared" si="0"/>
        <v>-4.6196126618791101E-3</v>
      </c>
      <c r="D13">
        <f t="shared" si="1"/>
        <v>70.002999999999986</v>
      </c>
      <c r="E13">
        <f t="shared" si="2"/>
        <v>0.89177587460432839</v>
      </c>
      <c r="F13">
        <f t="shared" si="3"/>
        <v>71.786551749208641</v>
      </c>
      <c r="G13">
        <f t="shared" si="4"/>
        <v>68.219448250791331</v>
      </c>
    </row>
    <row r="14" spans="1:7" x14ac:dyDescent="0.35">
      <c r="A14" t="s">
        <v>14</v>
      </c>
      <c r="B14">
        <v>69.430000000000007</v>
      </c>
      <c r="C14">
        <f t="shared" si="0"/>
        <v>-1.5577306764487309E-2</v>
      </c>
      <c r="D14">
        <f t="shared" si="1"/>
        <v>69.957999999999998</v>
      </c>
      <c r="E14">
        <f t="shared" si="2"/>
        <v>0.95935614373720246</v>
      </c>
      <c r="F14">
        <f t="shared" si="3"/>
        <v>71.876712287474405</v>
      </c>
      <c r="G14">
        <f t="shared" si="4"/>
        <v>68.039287712525592</v>
      </c>
    </row>
    <row r="15" spans="1:7" x14ac:dyDescent="0.35">
      <c r="A15" t="s">
        <v>15</v>
      </c>
      <c r="B15">
        <v>70.52</v>
      </c>
      <c r="C15">
        <f t="shared" si="0"/>
        <v>-5.797117684326069E-3</v>
      </c>
      <c r="D15">
        <f t="shared" si="1"/>
        <v>69.841500000000011</v>
      </c>
      <c r="E15">
        <f t="shared" si="2"/>
        <v>1.1494816909784769</v>
      </c>
      <c r="F15">
        <f t="shared" si="3"/>
        <v>72.140463381956963</v>
      </c>
      <c r="G15">
        <f t="shared" si="4"/>
        <v>67.542536618043059</v>
      </c>
    </row>
    <row r="16" spans="1:7" x14ac:dyDescent="0.35">
      <c r="A16" t="s">
        <v>16</v>
      </c>
      <c r="B16">
        <v>70.930000000000007</v>
      </c>
      <c r="C16">
        <f t="shared" si="0"/>
        <v>2.8200789809016433E-4</v>
      </c>
      <c r="D16">
        <f t="shared" si="1"/>
        <v>69.519500000000008</v>
      </c>
      <c r="E16">
        <f t="shared" si="2"/>
        <v>1.71319484558744</v>
      </c>
      <c r="F16">
        <f t="shared" si="3"/>
        <v>72.945889691174884</v>
      </c>
      <c r="G16">
        <f t="shared" si="4"/>
        <v>66.093110308825132</v>
      </c>
    </row>
    <row r="17" spans="1:7" x14ac:dyDescent="0.35">
      <c r="A17" t="s">
        <v>17</v>
      </c>
      <c r="B17">
        <v>70.91</v>
      </c>
      <c r="C17">
        <f t="shared" si="0"/>
        <v>1.3773735680675607E-2</v>
      </c>
      <c r="D17">
        <f t="shared" si="1"/>
        <v>69.141499999999979</v>
      </c>
      <c r="E17">
        <f t="shared" si="2"/>
        <v>2.1610773994273762</v>
      </c>
      <c r="F17">
        <f t="shared" si="3"/>
        <v>73.463654798854733</v>
      </c>
      <c r="G17">
        <f t="shared" si="4"/>
        <v>64.819345201145225</v>
      </c>
    </row>
    <row r="18" spans="1:7" x14ac:dyDescent="0.35">
      <c r="A18" t="s">
        <v>18</v>
      </c>
      <c r="B18">
        <v>69.94</v>
      </c>
      <c r="C18">
        <f t="shared" si="0"/>
        <v>5.3042916996799763E-3</v>
      </c>
      <c r="D18">
        <f t="shared" si="1"/>
        <v>68.740999999999985</v>
      </c>
      <c r="E18">
        <f t="shared" si="2"/>
        <v>2.5272783363677389</v>
      </c>
      <c r="F18">
        <f t="shared" si="3"/>
        <v>73.795556672735458</v>
      </c>
      <c r="G18">
        <f t="shared" si="4"/>
        <v>63.686443327264506</v>
      </c>
    </row>
    <row r="19" spans="1:7" x14ac:dyDescent="0.35">
      <c r="A19" t="s">
        <v>19</v>
      </c>
      <c r="B19">
        <v>69.569999999999993</v>
      </c>
      <c r="C19">
        <f t="shared" si="0"/>
        <v>-1.579892608697613E-3</v>
      </c>
      <c r="D19">
        <f t="shared" si="1"/>
        <v>68.376999999999995</v>
      </c>
      <c r="E19">
        <f t="shared" si="2"/>
        <v>2.8492530877222437</v>
      </c>
      <c r="F19">
        <f t="shared" si="3"/>
        <v>74.075506175444488</v>
      </c>
      <c r="G19">
        <f t="shared" si="4"/>
        <v>62.67849382455551</v>
      </c>
    </row>
    <row r="20" spans="1:7" x14ac:dyDescent="0.35">
      <c r="A20" t="s">
        <v>20</v>
      </c>
      <c r="B20">
        <v>69.680000000000007</v>
      </c>
      <c r="C20">
        <f t="shared" si="0"/>
        <v>-2.9831858044144288E-2</v>
      </c>
      <c r="D20">
        <f t="shared" si="1"/>
        <v>68.009</v>
      </c>
      <c r="E20">
        <f t="shared" si="2"/>
        <v>3.1468177743973613</v>
      </c>
      <c r="F20">
        <f t="shared" si="3"/>
        <v>74.302635548794726</v>
      </c>
      <c r="G20">
        <f t="shared" si="4"/>
        <v>61.715364451205275</v>
      </c>
    </row>
    <row r="21" spans="1:7" x14ac:dyDescent="0.35">
      <c r="A21" t="s">
        <v>21</v>
      </c>
      <c r="B21">
        <v>71.790000000000006</v>
      </c>
      <c r="C21">
        <f t="shared" si="0"/>
        <v>1.5441070405529084E-2</v>
      </c>
      <c r="D21">
        <f t="shared" si="1"/>
        <v>67.669499999999999</v>
      </c>
      <c r="E21">
        <f t="shared" si="2"/>
        <v>3.3186355392096409</v>
      </c>
      <c r="F21">
        <f t="shared" si="3"/>
        <v>74.306771078419274</v>
      </c>
      <c r="G21">
        <f t="shared" si="4"/>
        <v>61.032228921580717</v>
      </c>
    </row>
    <row r="22" spans="1:7" x14ac:dyDescent="0.35">
      <c r="A22" t="s">
        <v>22</v>
      </c>
      <c r="B22">
        <v>70.69</v>
      </c>
      <c r="C22">
        <f t="shared" si="0"/>
        <v>4.8213366224647107E-3</v>
      </c>
      <c r="D22">
        <f t="shared" si="1"/>
        <v>67.230500000000021</v>
      </c>
      <c r="E22">
        <f t="shared" si="2"/>
        <v>3.3255905292776275</v>
      </c>
      <c r="F22">
        <f t="shared" si="3"/>
        <v>73.881681058555273</v>
      </c>
      <c r="G22">
        <f t="shared" si="4"/>
        <v>60.579318941444768</v>
      </c>
    </row>
    <row r="23" spans="1:7" x14ac:dyDescent="0.35">
      <c r="A23" t="s">
        <v>23</v>
      </c>
      <c r="B23">
        <v>70.349999999999994</v>
      </c>
      <c r="C23">
        <f t="shared" si="0"/>
        <v>9.9552024150161966E-4</v>
      </c>
      <c r="D23">
        <f t="shared" si="1"/>
        <v>66.875000000000014</v>
      </c>
      <c r="E23">
        <f t="shared" si="2"/>
        <v>3.3163224717813713</v>
      </c>
      <c r="F23">
        <f t="shared" si="3"/>
        <v>73.507644943562752</v>
      </c>
      <c r="G23">
        <f t="shared" si="4"/>
        <v>60.242355056437269</v>
      </c>
    </row>
    <row r="24" spans="1:7" x14ac:dyDescent="0.35">
      <c r="A24" t="s">
        <v>24</v>
      </c>
      <c r="B24">
        <v>70.28</v>
      </c>
      <c r="C24">
        <f t="shared" si="0"/>
        <v>-9.7699892179950714E-3</v>
      </c>
      <c r="D24">
        <f t="shared" si="1"/>
        <v>66.475999999999999</v>
      </c>
      <c r="E24">
        <f t="shared" si="2"/>
        <v>3.3560415278780602</v>
      </c>
      <c r="F24">
        <f t="shared" si="3"/>
        <v>73.188083055756124</v>
      </c>
      <c r="G24">
        <f t="shared" si="4"/>
        <v>59.763916944243881</v>
      </c>
    </row>
    <row r="25" spans="1:7" x14ac:dyDescent="0.35">
      <c r="A25" t="s">
        <v>25</v>
      </c>
      <c r="B25">
        <v>70.97</v>
      </c>
      <c r="C25">
        <f t="shared" si="0"/>
        <v>1.2762510154449128E-2</v>
      </c>
      <c r="D25">
        <f t="shared" si="1"/>
        <v>66.057000000000002</v>
      </c>
      <c r="E25">
        <f t="shared" si="2"/>
        <v>3.3791576340545988</v>
      </c>
      <c r="F25">
        <f t="shared" si="3"/>
        <v>72.815315268109202</v>
      </c>
      <c r="G25">
        <f t="shared" si="4"/>
        <v>59.298684731890802</v>
      </c>
    </row>
    <row r="26" spans="1:7" x14ac:dyDescent="0.35">
      <c r="A26" t="s">
        <v>26</v>
      </c>
      <c r="B26">
        <v>70.069999999999993</v>
      </c>
      <c r="C26">
        <f t="shared" si="0"/>
        <v>-1.0787897383088826E-2</v>
      </c>
      <c r="D26">
        <f t="shared" si="1"/>
        <v>65.678500000000014</v>
      </c>
      <c r="E26">
        <f t="shared" si="2"/>
        <v>3.2201034226607654</v>
      </c>
      <c r="F26">
        <f t="shared" si="3"/>
        <v>72.11870684532154</v>
      </c>
      <c r="G26">
        <f t="shared" si="4"/>
        <v>59.23829315467848</v>
      </c>
    </row>
    <row r="27" spans="1:7" x14ac:dyDescent="0.35">
      <c r="A27" t="s">
        <v>27</v>
      </c>
      <c r="B27">
        <v>70.83</v>
      </c>
      <c r="C27">
        <f t="shared" si="0"/>
        <v>1.8524325654604643E-2</v>
      </c>
      <c r="D27">
        <f t="shared" si="1"/>
        <v>65.248500000000007</v>
      </c>
      <c r="E27">
        <f t="shared" si="2"/>
        <v>3.1767283319064039</v>
      </c>
      <c r="F27">
        <f t="shared" si="3"/>
        <v>71.601956663812814</v>
      </c>
      <c r="G27">
        <f t="shared" si="4"/>
        <v>58.8950433361872</v>
      </c>
    </row>
    <row r="28" spans="1:7" x14ac:dyDescent="0.35">
      <c r="A28" t="s">
        <v>28</v>
      </c>
      <c r="B28">
        <v>69.53</v>
      </c>
      <c r="C28">
        <f t="shared" si="0"/>
        <v>-4.3137537515581495E-4</v>
      </c>
      <c r="D28">
        <f t="shared" si="1"/>
        <v>64.760999999999996</v>
      </c>
      <c r="E28">
        <f t="shared" si="2"/>
        <v>3.0193287856391988</v>
      </c>
      <c r="F28">
        <f t="shared" si="3"/>
        <v>70.799657571278388</v>
      </c>
      <c r="G28">
        <f t="shared" si="4"/>
        <v>58.722342428721596</v>
      </c>
    </row>
    <row r="29" spans="1:7" x14ac:dyDescent="0.35">
      <c r="A29" t="s">
        <v>29</v>
      </c>
      <c r="B29">
        <v>69.56</v>
      </c>
      <c r="C29">
        <f t="shared" si="0"/>
        <v>1.4772173039619483E-2</v>
      </c>
      <c r="D29">
        <f t="shared" si="1"/>
        <v>64.350999999999999</v>
      </c>
      <c r="E29">
        <f t="shared" si="2"/>
        <v>2.891703013068506</v>
      </c>
      <c r="F29">
        <f t="shared" si="3"/>
        <v>70.134406026137015</v>
      </c>
      <c r="G29">
        <f t="shared" si="4"/>
        <v>58.567593973862984</v>
      </c>
    </row>
    <row r="30" spans="1:7" x14ac:dyDescent="0.35">
      <c r="A30" t="s">
        <v>30</v>
      </c>
      <c r="B30">
        <v>68.540000000000006</v>
      </c>
      <c r="C30">
        <f t="shared" si="0"/>
        <v>2.4833845207602842E-3</v>
      </c>
      <c r="D30">
        <f t="shared" si="1"/>
        <v>63.971000000000004</v>
      </c>
      <c r="E30">
        <f t="shared" si="2"/>
        <v>2.6613429534333743</v>
      </c>
      <c r="F30">
        <f t="shared" si="3"/>
        <v>69.293685906866756</v>
      </c>
      <c r="G30">
        <f t="shared" si="4"/>
        <v>58.648314093133251</v>
      </c>
    </row>
    <row r="31" spans="1:7" x14ac:dyDescent="0.35">
      <c r="A31" t="s">
        <v>31</v>
      </c>
      <c r="B31">
        <v>68.37</v>
      </c>
      <c r="C31">
        <f t="shared" si="0"/>
        <v>-9.0274346323146529E-3</v>
      </c>
      <c r="D31">
        <f t="shared" si="1"/>
        <v>63.656499999999994</v>
      </c>
      <c r="E31">
        <f t="shared" si="2"/>
        <v>2.4567849658488732</v>
      </c>
      <c r="F31">
        <f t="shared" si="3"/>
        <v>68.570069931697745</v>
      </c>
      <c r="G31">
        <f t="shared" si="4"/>
        <v>58.74293006830225</v>
      </c>
    </row>
    <row r="32" spans="1:7" x14ac:dyDescent="0.35">
      <c r="A32" t="s">
        <v>32</v>
      </c>
      <c r="B32">
        <v>68.989999999999995</v>
      </c>
      <c r="C32">
        <f t="shared" si="0"/>
        <v>1.1370384891389338E-2</v>
      </c>
      <c r="D32">
        <f t="shared" si="1"/>
        <v>63.327500000000001</v>
      </c>
      <c r="E32">
        <f t="shared" si="2"/>
        <v>2.2216870664098094</v>
      </c>
      <c r="F32">
        <f t="shared" si="3"/>
        <v>67.770874132819614</v>
      </c>
      <c r="G32">
        <f t="shared" si="4"/>
        <v>58.88412586718038</v>
      </c>
    </row>
    <row r="33" spans="1:7" x14ac:dyDescent="0.35">
      <c r="A33" t="s">
        <v>33</v>
      </c>
      <c r="B33">
        <v>68.209999999999994</v>
      </c>
      <c r="C33">
        <f t="shared" si="0"/>
        <v>1.6407137688991772E-2</v>
      </c>
      <c r="D33">
        <f t="shared" si="1"/>
        <v>62.943999999999996</v>
      </c>
      <c r="E33">
        <f t="shared" si="2"/>
        <v>1.8181349611187008</v>
      </c>
      <c r="F33">
        <f t="shared" si="3"/>
        <v>66.580269922237392</v>
      </c>
      <c r="G33">
        <f t="shared" si="4"/>
        <v>59.307730077762592</v>
      </c>
    </row>
    <row r="34" spans="1:7" x14ac:dyDescent="0.35">
      <c r="A34" t="s">
        <v>34</v>
      </c>
      <c r="B34">
        <v>67.099999999999994</v>
      </c>
      <c r="C34">
        <f t="shared" ref="C34:C65" si="5">LN(B34/B35)</f>
        <v>4.6051741217532173E-2</v>
      </c>
      <c r="D34">
        <f t="shared" si="1"/>
        <v>62.612999999999985</v>
      </c>
      <c r="E34">
        <f t="shared" si="2"/>
        <v>1.351763370759214</v>
      </c>
      <c r="F34">
        <f t="shared" si="3"/>
        <v>65.316526741518416</v>
      </c>
      <c r="G34">
        <f t="shared" si="4"/>
        <v>59.909473258481555</v>
      </c>
    </row>
    <row r="35" spans="1:7" x14ac:dyDescent="0.35">
      <c r="A35" t="s">
        <v>35</v>
      </c>
      <c r="B35">
        <v>64.08</v>
      </c>
      <c r="C35">
        <f t="shared" si="5"/>
        <v>1.1141739424678191E-2</v>
      </c>
      <c r="D35">
        <f t="shared" si="1"/>
        <v>62.317999999999998</v>
      </c>
      <c r="E35">
        <f t="shared" si="2"/>
        <v>0.88379921511142889</v>
      </c>
      <c r="F35">
        <f t="shared" si="3"/>
        <v>64.085598430222859</v>
      </c>
      <c r="G35">
        <f t="shared" si="4"/>
        <v>60.550401569777137</v>
      </c>
    </row>
    <row r="36" spans="1:7" x14ac:dyDescent="0.35">
      <c r="A36" t="s">
        <v>36</v>
      </c>
      <c r="B36">
        <v>63.37</v>
      </c>
      <c r="C36">
        <f t="shared" si="5"/>
        <v>7.4443996290306331E-3</v>
      </c>
      <c r="D36">
        <f t="shared" si="1"/>
        <v>62.144999999999996</v>
      </c>
      <c r="E36">
        <f t="shared" si="2"/>
        <v>0.85903556693722349</v>
      </c>
      <c r="F36">
        <f t="shared" si="3"/>
        <v>63.863071133874442</v>
      </c>
      <c r="G36">
        <f t="shared" si="4"/>
        <v>60.42692886612555</v>
      </c>
    </row>
    <row r="37" spans="1:7" x14ac:dyDescent="0.35">
      <c r="A37" t="s">
        <v>37</v>
      </c>
      <c r="B37">
        <v>62.9</v>
      </c>
      <c r="C37">
        <f t="shared" si="5"/>
        <v>3.822878182349154E-3</v>
      </c>
      <c r="D37">
        <f t="shared" si="1"/>
        <v>62.039499999999997</v>
      </c>
      <c r="E37">
        <f t="shared" si="2"/>
        <v>0.82973981337208125</v>
      </c>
      <c r="F37">
        <f t="shared" si="3"/>
        <v>63.698979626744162</v>
      </c>
      <c r="G37">
        <f t="shared" si="4"/>
        <v>60.380020373255832</v>
      </c>
    </row>
    <row r="38" spans="1:7" x14ac:dyDescent="0.35">
      <c r="A38" t="s">
        <v>38</v>
      </c>
      <c r="B38">
        <v>62.66</v>
      </c>
      <c r="C38">
        <f t="shared" si="5"/>
        <v>7.207526997117155E-3</v>
      </c>
      <c r="D38">
        <f t="shared" si="1"/>
        <v>61.914000000000001</v>
      </c>
      <c r="E38">
        <f t="shared" si="2"/>
        <v>0.88097673068021443</v>
      </c>
      <c r="F38">
        <f t="shared" si="3"/>
        <v>63.675953461360429</v>
      </c>
      <c r="G38">
        <f t="shared" si="4"/>
        <v>60.152046538639574</v>
      </c>
    </row>
    <row r="39" spans="1:7" x14ac:dyDescent="0.35">
      <c r="A39" t="s">
        <v>39</v>
      </c>
      <c r="B39">
        <v>62.21</v>
      </c>
      <c r="C39">
        <f t="shared" si="5"/>
        <v>-1.0871410028483557E-2</v>
      </c>
      <c r="D39">
        <f t="shared" si="1"/>
        <v>61.798999999999999</v>
      </c>
      <c r="E39">
        <f t="shared" si="2"/>
        <v>0.92736695740370767</v>
      </c>
      <c r="F39">
        <f t="shared" si="3"/>
        <v>63.653733914807418</v>
      </c>
      <c r="G39">
        <f t="shared" si="4"/>
        <v>59.944266085192581</v>
      </c>
    </row>
    <row r="40" spans="1:7" x14ac:dyDescent="0.35">
      <c r="A40" t="s">
        <v>40</v>
      </c>
      <c r="B40">
        <v>62.89</v>
      </c>
      <c r="C40">
        <f t="shared" si="5"/>
        <v>-1.9062753985520928E-3</v>
      </c>
      <c r="D40">
        <f t="shared" si="1"/>
        <v>61.75350000000001</v>
      </c>
      <c r="E40">
        <f t="shared" si="2"/>
        <v>0.92846378496955906</v>
      </c>
      <c r="F40">
        <f t="shared" si="3"/>
        <v>63.610427569939127</v>
      </c>
      <c r="G40">
        <f t="shared" si="4"/>
        <v>59.896572430060893</v>
      </c>
    </row>
    <row r="41" spans="1:7" x14ac:dyDescent="0.35">
      <c r="A41" t="s">
        <v>41</v>
      </c>
      <c r="B41">
        <v>63.01</v>
      </c>
      <c r="C41">
        <f t="shared" si="5"/>
        <v>-9.0055115286925367E-3</v>
      </c>
      <c r="D41">
        <f t="shared" si="1"/>
        <v>61.678500000000007</v>
      </c>
      <c r="E41">
        <f t="shared" si="2"/>
        <v>0.89168247239639442</v>
      </c>
      <c r="F41">
        <f t="shared" si="3"/>
        <v>63.461864944792794</v>
      </c>
      <c r="G41">
        <f t="shared" si="4"/>
        <v>59.89513505520722</v>
      </c>
    </row>
    <row r="42" spans="1:7" x14ac:dyDescent="0.35">
      <c r="A42" t="s">
        <v>42</v>
      </c>
      <c r="B42">
        <v>63.58</v>
      </c>
      <c r="C42">
        <f t="shared" si="5"/>
        <v>1.9214564944625454E-2</v>
      </c>
      <c r="D42">
        <f t="shared" si="1"/>
        <v>61.617999999999995</v>
      </c>
      <c r="E42">
        <f t="shared" si="2"/>
        <v>0.83588969305008665</v>
      </c>
      <c r="F42">
        <f t="shared" si="3"/>
        <v>63.289779386100172</v>
      </c>
      <c r="G42">
        <f t="shared" si="4"/>
        <v>59.946220613899818</v>
      </c>
    </row>
    <row r="43" spans="1:7" x14ac:dyDescent="0.35">
      <c r="A43" t="s">
        <v>43</v>
      </c>
      <c r="B43">
        <v>62.37</v>
      </c>
      <c r="C43">
        <f t="shared" si="5"/>
        <v>7.5642108474808616E-3</v>
      </c>
      <c r="D43">
        <f t="shared" si="1"/>
        <v>61.518000000000008</v>
      </c>
      <c r="E43">
        <f t="shared" si="2"/>
        <v>0.69689234991383053</v>
      </c>
      <c r="F43">
        <f t="shared" si="3"/>
        <v>62.91178469982767</v>
      </c>
      <c r="G43">
        <f t="shared" si="4"/>
        <v>60.124215300172345</v>
      </c>
    </row>
    <row r="44" spans="1:7" x14ac:dyDescent="0.35">
      <c r="A44" t="s">
        <v>44</v>
      </c>
      <c r="B44">
        <v>61.9</v>
      </c>
      <c r="C44">
        <f t="shared" si="5"/>
        <v>-2.3943681752629783E-2</v>
      </c>
      <c r="D44">
        <f t="shared" si="1"/>
        <v>61.499000000000002</v>
      </c>
      <c r="E44">
        <f t="shared" si="2"/>
        <v>0.67734699185013092</v>
      </c>
      <c r="F44">
        <f t="shared" si="3"/>
        <v>62.853693983700268</v>
      </c>
      <c r="G44">
        <f t="shared" si="4"/>
        <v>60.144306016299737</v>
      </c>
    </row>
    <row r="45" spans="1:7" x14ac:dyDescent="0.35">
      <c r="A45" t="s">
        <v>45</v>
      </c>
      <c r="B45">
        <v>63.4</v>
      </c>
      <c r="C45">
        <f t="shared" si="5"/>
        <v>3.0914610524262226E-2</v>
      </c>
      <c r="D45">
        <f t="shared" si="1"/>
        <v>61.509499999999989</v>
      </c>
      <c r="E45">
        <f t="shared" si="2"/>
        <v>0.68546929755805763</v>
      </c>
      <c r="F45">
        <f t="shared" si="3"/>
        <v>62.880438595116104</v>
      </c>
      <c r="G45">
        <f t="shared" si="4"/>
        <v>60.138561404883873</v>
      </c>
    </row>
    <row r="46" spans="1:7" x14ac:dyDescent="0.35">
      <c r="A46" t="s">
        <v>46</v>
      </c>
      <c r="B46">
        <v>61.47</v>
      </c>
      <c r="C46">
        <f t="shared" si="5"/>
        <v>6.3647705684864815E-3</v>
      </c>
      <c r="D46">
        <f t="shared" si="1"/>
        <v>61.458500000000001</v>
      </c>
      <c r="E46">
        <f t="shared" si="2"/>
        <v>0.56471953914729867</v>
      </c>
      <c r="F46">
        <f t="shared" si="3"/>
        <v>62.587939078294596</v>
      </c>
      <c r="G46">
        <f t="shared" si="4"/>
        <v>60.329060921705405</v>
      </c>
    </row>
    <row r="47" spans="1:7" x14ac:dyDescent="0.35">
      <c r="A47" t="s">
        <v>47</v>
      </c>
      <c r="B47">
        <v>61.08</v>
      </c>
      <c r="C47">
        <f t="shared" si="5"/>
        <v>-4.0846392874607082E-3</v>
      </c>
      <c r="D47">
        <f t="shared" si="1"/>
        <v>61.480999999999995</v>
      </c>
      <c r="E47">
        <f t="shared" si="2"/>
        <v>0.57408875162020268</v>
      </c>
      <c r="F47">
        <f t="shared" si="3"/>
        <v>62.629177503240399</v>
      </c>
      <c r="G47">
        <f t="shared" si="4"/>
        <v>60.33282249675959</v>
      </c>
    </row>
    <row r="48" spans="1:7" x14ac:dyDescent="0.35">
      <c r="A48" t="s">
        <v>48</v>
      </c>
      <c r="B48">
        <v>61.33</v>
      </c>
      <c r="C48">
        <f t="shared" si="5"/>
        <v>-1.0219895910775529E-2</v>
      </c>
      <c r="D48">
        <f t="shared" si="1"/>
        <v>61.531500000000008</v>
      </c>
      <c r="E48">
        <f t="shared" si="2"/>
        <v>0.58133489759165113</v>
      </c>
      <c r="F48">
        <f t="shared" si="3"/>
        <v>62.694169795183313</v>
      </c>
      <c r="G48">
        <f t="shared" si="4"/>
        <v>60.368830204816703</v>
      </c>
    </row>
    <row r="49" spans="1:7" x14ac:dyDescent="0.35">
      <c r="A49" t="s">
        <v>49</v>
      </c>
      <c r="B49">
        <v>61.96</v>
      </c>
      <c r="C49">
        <f t="shared" si="5"/>
        <v>-4.6695197961491323E-3</v>
      </c>
      <c r="D49">
        <f t="shared" si="1"/>
        <v>61.564499999999995</v>
      </c>
      <c r="E49">
        <f t="shared" si="2"/>
        <v>0.58798921400776949</v>
      </c>
      <c r="F49">
        <f t="shared" si="3"/>
        <v>62.740478428015535</v>
      </c>
      <c r="G49">
        <f t="shared" si="4"/>
        <v>60.388521571984455</v>
      </c>
    </row>
    <row r="50" spans="1:7" x14ac:dyDescent="0.35">
      <c r="A50" t="s">
        <v>50</v>
      </c>
      <c r="B50">
        <v>62.25</v>
      </c>
      <c r="C50">
        <f t="shared" si="5"/>
        <v>7.4169962719287282E-3</v>
      </c>
      <c r="D50">
        <f t="shared" si="1"/>
        <v>61.585999999999999</v>
      </c>
      <c r="E50">
        <f t="shared" si="2"/>
        <v>0.61063728574076026</v>
      </c>
      <c r="F50">
        <f t="shared" si="3"/>
        <v>62.807274571481521</v>
      </c>
      <c r="G50">
        <f t="shared" si="4"/>
        <v>60.364725428518476</v>
      </c>
    </row>
    <row r="51" spans="1:7" x14ac:dyDescent="0.35">
      <c r="A51" t="s">
        <v>51</v>
      </c>
      <c r="B51">
        <v>61.79</v>
      </c>
      <c r="C51">
        <f t="shared" si="5"/>
        <v>7.6354850692747379E-3</v>
      </c>
      <c r="D51">
        <f t="shared" si="1"/>
        <v>61.620500000000007</v>
      </c>
      <c r="E51">
        <f t="shared" si="2"/>
        <v>0.66701593920827351</v>
      </c>
      <c r="F51">
        <f t="shared" si="3"/>
        <v>62.954531878416553</v>
      </c>
      <c r="G51">
        <f t="shared" si="4"/>
        <v>60.286468121583461</v>
      </c>
    </row>
    <row r="52" spans="1:7" x14ac:dyDescent="0.35">
      <c r="A52" t="s">
        <v>52</v>
      </c>
      <c r="B52">
        <v>61.32</v>
      </c>
      <c r="C52">
        <f t="shared" si="5"/>
        <v>-4.3934656953385377E-3</v>
      </c>
      <c r="D52">
        <f t="shared" si="1"/>
        <v>61.6355</v>
      </c>
      <c r="E52">
        <f t="shared" si="2"/>
        <v>0.67436110114451508</v>
      </c>
      <c r="F52">
        <f t="shared" si="3"/>
        <v>62.984222202289033</v>
      </c>
      <c r="G52">
        <f t="shared" si="4"/>
        <v>60.286777797710968</v>
      </c>
    </row>
    <row r="53" spans="1:7" x14ac:dyDescent="0.35">
      <c r="A53" t="s">
        <v>53</v>
      </c>
      <c r="B53">
        <v>61.59</v>
      </c>
      <c r="C53">
        <f t="shared" si="5"/>
        <v>6.3523301806714741E-3</v>
      </c>
      <c r="D53">
        <f t="shared" si="1"/>
        <v>61.702500000000008</v>
      </c>
      <c r="E53">
        <f t="shared" si="2"/>
        <v>0.70713562311177947</v>
      </c>
      <c r="F53">
        <f t="shared" si="3"/>
        <v>63.116771246223564</v>
      </c>
      <c r="G53">
        <f t="shared" si="4"/>
        <v>60.288228753776451</v>
      </c>
    </row>
    <row r="54" spans="1:7" x14ac:dyDescent="0.35">
      <c r="A54" t="s">
        <v>54</v>
      </c>
      <c r="B54">
        <v>61.2</v>
      </c>
      <c r="C54">
        <f t="shared" si="5"/>
        <v>9.5223178886234376E-3</v>
      </c>
      <c r="D54">
        <f t="shared" si="1"/>
        <v>61.791499999999999</v>
      </c>
      <c r="E54">
        <f t="shared" si="2"/>
        <v>0.7983619743607927</v>
      </c>
      <c r="F54">
        <f t="shared" si="3"/>
        <v>63.388223948721581</v>
      </c>
      <c r="G54">
        <f t="shared" si="4"/>
        <v>60.194776051278417</v>
      </c>
    </row>
    <row r="55" spans="1:7" x14ac:dyDescent="0.35">
      <c r="A55" t="s">
        <v>55</v>
      </c>
      <c r="B55">
        <v>60.62</v>
      </c>
      <c r="C55">
        <f t="shared" si="5"/>
        <v>-1.0502229774972135E-2</v>
      </c>
      <c r="D55">
        <f t="shared" si="1"/>
        <v>61.840499999999999</v>
      </c>
      <c r="E55">
        <f t="shared" si="2"/>
        <v>0.79017969308785774</v>
      </c>
      <c r="F55">
        <f t="shared" si="3"/>
        <v>63.420859386175714</v>
      </c>
      <c r="G55">
        <f t="shared" si="4"/>
        <v>60.260140613824284</v>
      </c>
    </row>
    <row r="56" spans="1:7" x14ac:dyDescent="0.35">
      <c r="A56" t="s">
        <v>56</v>
      </c>
      <c r="B56">
        <v>61.26</v>
      </c>
      <c r="C56">
        <f t="shared" si="5"/>
        <v>1.4303573084819436E-2</v>
      </c>
      <c r="D56">
        <f t="shared" si="1"/>
        <v>61.931999999999995</v>
      </c>
      <c r="E56">
        <f t="shared" si="2"/>
        <v>0.7461381274691421</v>
      </c>
      <c r="F56">
        <f t="shared" si="3"/>
        <v>63.424276254938277</v>
      </c>
      <c r="G56">
        <f t="shared" si="4"/>
        <v>60.439723745061713</v>
      </c>
    </row>
    <row r="57" spans="1:7" x14ac:dyDescent="0.35">
      <c r="A57" t="s">
        <v>57</v>
      </c>
      <c r="B57">
        <v>60.39</v>
      </c>
      <c r="C57">
        <f t="shared" si="5"/>
        <v>4.968944201617485E-4</v>
      </c>
      <c r="D57">
        <f t="shared" si="1"/>
        <v>61.976000000000013</v>
      </c>
      <c r="E57">
        <f t="shared" si="2"/>
        <v>0.7302011258622696</v>
      </c>
      <c r="F57">
        <f t="shared" si="3"/>
        <v>63.436402251724552</v>
      </c>
      <c r="G57">
        <f t="shared" si="4"/>
        <v>60.515597748275475</v>
      </c>
    </row>
    <row r="58" spans="1:7" x14ac:dyDescent="0.35">
      <c r="A58" t="s">
        <v>58</v>
      </c>
      <c r="B58">
        <v>60.36</v>
      </c>
      <c r="C58">
        <f t="shared" si="5"/>
        <v>-1.5453209042517551E-2</v>
      </c>
      <c r="D58">
        <f t="shared" si="1"/>
        <v>62.06</v>
      </c>
      <c r="E58">
        <f t="shared" si="2"/>
        <v>0.62756840683957138</v>
      </c>
      <c r="F58">
        <f t="shared" si="3"/>
        <v>63.315136813679146</v>
      </c>
      <c r="G58">
        <f t="shared" si="4"/>
        <v>60.804863186320858</v>
      </c>
    </row>
    <row r="59" spans="1:7" x14ac:dyDescent="0.35">
      <c r="A59" t="s">
        <v>59</v>
      </c>
      <c r="B59">
        <v>61.3</v>
      </c>
      <c r="C59">
        <f t="shared" si="5"/>
        <v>-1.4671124972393467E-3</v>
      </c>
      <c r="D59">
        <f t="shared" si="1"/>
        <v>62.165000000000006</v>
      </c>
      <c r="E59">
        <f t="shared" si="2"/>
        <v>0.48841850044705215</v>
      </c>
      <c r="F59">
        <f t="shared" si="3"/>
        <v>63.141837000894114</v>
      </c>
      <c r="G59">
        <f t="shared" si="4"/>
        <v>61.188162999105899</v>
      </c>
    </row>
    <row r="60" spans="1:7" x14ac:dyDescent="0.35">
      <c r="A60" t="s">
        <v>60</v>
      </c>
      <c r="B60">
        <v>61.39</v>
      </c>
      <c r="C60">
        <f t="shared" si="5"/>
        <v>-6.6564090242400027E-3</v>
      </c>
      <c r="D60">
        <f t="shared" si="1"/>
        <v>62.1875</v>
      </c>
      <c r="E60">
        <f t="shared" si="2"/>
        <v>0.4557454852968052</v>
      </c>
      <c r="F60">
        <f t="shared" si="3"/>
        <v>63.098990970593611</v>
      </c>
      <c r="G60">
        <f t="shared" si="4"/>
        <v>61.276009029406389</v>
      </c>
    </row>
    <row r="61" spans="1:7" x14ac:dyDescent="0.35">
      <c r="A61" t="s">
        <v>61</v>
      </c>
      <c r="B61">
        <v>61.8</v>
      </c>
      <c r="C61">
        <f t="shared" si="5"/>
        <v>3.5662219672907905E-3</v>
      </c>
      <c r="D61">
        <f t="shared" si="1"/>
        <v>62.270500000000006</v>
      </c>
      <c r="E61">
        <f t="shared" si="2"/>
        <v>0.45401686729621943</v>
      </c>
      <c r="F61">
        <f t="shared" si="3"/>
        <v>63.178533734592442</v>
      </c>
      <c r="G61">
        <f t="shared" si="4"/>
        <v>61.362466265407569</v>
      </c>
    </row>
    <row r="62" spans="1:7" x14ac:dyDescent="0.35">
      <c r="A62" t="s">
        <v>62</v>
      </c>
      <c r="B62">
        <v>61.58</v>
      </c>
      <c r="C62">
        <f t="shared" si="5"/>
        <v>-6.6359392174738232E-3</v>
      </c>
      <c r="D62">
        <f t="shared" si="1"/>
        <v>62.339500000000008</v>
      </c>
      <c r="E62">
        <f t="shared" si="2"/>
        <v>0.48270591461054108</v>
      </c>
      <c r="F62">
        <f t="shared" si="3"/>
        <v>63.304911829221091</v>
      </c>
      <c r="G62">
        <f t="shared" si="4"/>
        <v>61.374088170778926</v>
      </c>
    </row>
    <row r="63" spans="1:7" x14ac:dyDescent="0.35">
      <c r="A63" t="s">
        <v>63</v>
      </c>
      <c r="B63">
        <v>61.99</v>
      </c>
      <c r="C63">
        <f t="shared" si="5"/>
        <v>-1.9339248573834841E-3</v>
      </c>
      <c r="D63">
        <f t="shared" si="1"/>
        <v>62.440999999999995</v>
      </c>
      <c r="E63">
        <f t="shared" si="2"/>
        <v>0.52607684049505721</v>
      </c>
      <c r="F63">
        <f t="shared" si="3"/>
        <v>63.493153680990112</v>
      </c>
      <c r="G63">
        <f t="shared" si="4"/>
        <v>61.388846319009879</v>
      </c>
    </row>
    <row r="64" spans="1:7" x14ac:dyDescent="0.35">
      <c r="A64" t="s">
        <v>64</v>
      </c>
      <c r="B64">
        <v>62.11</v>
      </c>
      <c r="C64">
        <f t="shared" si="5"/>
        <v>-4.3377046084456198E-3</v>
      </c>
      <c r="D64">
        <f t="shared" si="1"/>
        <v>62.515499999999996</v>
      </c>
      <c r="E64">
        <f t="shared" si="2"/>
        <v>0.56305066613190091</v>
      </c>
      <c r="F64">
        <f t="shared" si="3"/>
        <v>63.641601332263797</v>
      </c>
      <c r="G64">
        <f t="shared" si="4"/>
        <v>61.389398667736195</v>
      </c>
    </row>
    <row r="65" spans="1:7" x14ac:dyDescent="0.35">
      <c r="A65" t="s">
        <v>65</v>
      </c>
      <c r="B65">
        <v>62.38</v>
      </c>
      <c r="C65">
        <f t="shared" si="5"/>
        <v>7.4014818981856124E-3</v>
      </c>
      <c r="D65">
        <f t="shared" si="1"/>
        <v>62.589500000000001</v>
      </c>
      <c r="E65">
        <f t="shared" si="2"/>
        <v>0.60280462925613831</v>
      </c>
      <c r="F65">
        <f t="shared" si="3"/>
        <v>63.795109258512277</v>
      </c>
      <c r="G65">
        <f t="shared" si="4"/>
        <v>61.383890741487726</v>
      </c>
    </row>
    <row r="66" spans="1:7" x14ac:dyDescent="0.35">
      <c r="A66" t="s">
        <v>66</v>
      </c>
      <c r="B66">
        <v>61.92</v>
      </c>
      <c r="C66">
        <f t="shared" ref="C66:C97" si="6">LN(B66/B67)</f>
        <v>-2.7417160953297727E-3</v>
      </c>
      <c r="D66">
        <f t="shared" si="1"/>
        <v>62.641999999999996</v>
      </c>
      <c r="E66">
        <f t="shared" si="2"/>
        <v>0.62876319699449301</v>
      </c>
      <c r="F66">
        <f t="shared" si="3"/>
        <v>63.899526393988985</v>
      </c>
      <c r="G66">
        <f t="shared" si="4"/>
        <v>61.384473606011007</v>
      </c>
    </row>
    <row r="67" spans="1:7" x14ac:dyDescent="0.35">
      <c r="A67" t="s">
        <v>67</v>
      </c>
      <c r="B67">
        <v>62.09</v>
      </c>
      <c r="C67">
        <f t="shared" si="6"/>
        <v>1.6118636629733596E-3</v>
      </c>
      <c r="D67">
        <f t="shared" ref="D67:D130" si="7" xml:space="preserve"> AVERAGE(B67:B86)</f>
        <v>62.694499999999991</v>
      </c>
      <c r="E67">
        <f t="shared" ref="E67:E130" si="8" xml:space="preserve"> _xlfn.STDEV.S(B67:B86)</f>
        <v>0.60882522770885206</v>
      </c>
      <c r="F67">
        <f t="shared" ref="F67:F130" si="9" xml:space="preserve"> D67 + (2 * E67)</f>
        <v>63.912150455417695</v>
      </c>
      <c r="G67">
        <f t="shared" ref="G67:G130" si="10" xml:space="preserve"> D67 - (2 * E67)</f>
        <v>61.476849544582286</v>
      </c>
    </row>
    <row r="68" spans="1:7" x14ac:dyDescent="0.35">
      <c r="A68" t="s">
        <v>68</v>
      </c>
      <c r="B68">
        <v>61.99</v>
      </c>
      <c r="C68">
        <f t="shared" si="6"/>
        <v>-6.431924408866958E-3</v>
      </c>
      <c r="D68">
        <f t="shared" si="7"/>
        <v>62.731000000000009</v>
      </c>
      <c r="E68">
        <f t="shared" si="8"/>
        <v>0.59233614212131025</v>
      </c>
      <c r="F68">
        <f t="shared" si="9"/>
        <v>63.915672284242632</v>
      </c>
      <c r="G68">
        <f t="shared" si="10"/>
        <v>61.546327715757386</v>
      </c>
    </row>
    <row r="69" spans="1:7" x14ac:dyDescent="0.35">
      <c r="A69" t="s">
        <v>69</v>
      </c>
      <c r="B69">
        <v>62.39</v>
      </c>
      <c r="C69">
        <f t="shared" si="6"/>
        <v>-8.7768855135657679E-3</v>
      </c>
      <c r="D69">
        <f t="shared" si="7"/>
        <v>62.73449999999999</v>
      </c>
      <c r="E69">
        <f t="shared" si="8"/>
        <v>0.58791760074278854</v>
      </c>
      <c r="F69">
        <f t="shared" si="9"/>
        <v>63.910335201485566</v>
      </c>
      <c r="G69">
        <f t="shared" si="10"/>
        <v>61.558664798514414</v>
      </c>
    </row>
    <row r="70" spans="1:7" x14ac:dyDescent="0.35">
      <c r="A70" t="s">
        <v>70</v>
      </c>
      <c r="B70">
        <v>62.94</v>
      </c>
      <c r="C70">
        <f t="shared" si="6"/>
        <v>1.3596946259459376E-2</v>
      </c>
      <c r="D70">
        <f t="shared" si="7"/>
        <v>62.697999999999993</v>
      </c>
      <c r="E70">
        <f t="shared" si="8"/>
        <v>0.6314777989179946</v>
      </c>
      <c r="F70">
        <f t="shared" si="9"/>
        <v>63.960955597835984</v>
      </c>
      <c r="G70">
        <f t="shared" si="10"/>
        <v>61.435044402164003</v>
      </c>
    </row>
    <row r="71" spans="1:7" x14ac:dyDescent="0.35">
      <c r="A71" t="s">
        <v>71</v>
      </c>
      <c r="B71">
        <v>62.09</v>
      </c>
      <c r="C71">
        <f t="shared" si="6"/>
        <v>-9.1383401472441006E-3</v>
      </c>
      <c r="D71">
        <f t="shared" si="7"/>
        <v>62.597999999999999</v>
      </c>
      <c r="E71">
        <f t="shared" si="8"/>
        <v>0.74014650043438224</v>
      </c>
      <c r="F71">
        <f t="shared" si="9"/>
        <v>64.078293000868769</v>
      </c>
      <c r="G71">
        <f t="shared" si="10"/>
        <v>61.117706999131237</v>
      </c>
    </row>
    <row r="72" spans="1:7" x14ac:dyDescent="0.35">
      <c r="A72" t="s">
        <v>72</v>
      </c>
      <c r="B72">
        <v>62.66</v>
      </c>
      <c r="C72">
        <f t="shared" si="6"/>
        <v>-1.126727781137994E-2</v>
      </c>
      <c r="D72">
        <f t="shared" si="7"/>
        <v>62.535000000000004</v>
      </c>
      <c r="E72">
        <f t="shared" si="8"/>
        <v>0.83341087358548827</v>
      </c>
      <c r="F72">
        <f t="shared" si="9"/>
        <v>64.201821747170982</v>
      </c>
      <c r="G72">
        <f t="shared" si="10"/>
        <v>60.868178252829026</v>
      </c>
    </row>
    <row r="73" spans="1:7" x14ac:dyDescent="0.35">
      <c r="A73" t="s">
        <v>73</v>
      </c>
      <c r="B73">
        <v>63.37</v>
      </c>
      <c r="C73">
        <f t="shared" si="6"/>
        <v>1.8957158704817765E-2</v>
      </c>
      <c r="D73">
        <f t="shared" si="7"/>
        <v>62.483000000000004</v>
      </c>
      <c r="E73">
        <f t="shared" si="8"/>
        <v>0.85730360648034787</v>
      </c>
      <c r="F73">
        <f t="shared" si="9"/>
        <v>64.197607212960705</v>
      </c>
      <c r="G73">
        <f t="shared" si="10"/>
        <v>60.768392787039311</v>
      </c>
    </row>
    <row r="74" spans="1:7" x14ac:dyDescent="0.35">
      <c r="A74" t="s">
        <v>74</v>
      </c>
      <c r="B74">
        <v>62.18</v>
      </c>
      <c r="C74">
        <f t="shared" si="6"/>
        <v>-4.3328319409789958E-3</v>
      </c>
      <c r="D74">
        <f t="shared" si="7"/>
        <v>62.417999999999985</v>
      </c>
      <c r="E74">
        <f t="shared" si="8"/>
        <v>0.83551811848444679</v>
      </c>
      <c r="F74">
        <f t="shared" si="9"/>
        <v>64.08903623696888</v>
      </c>
      <c r="G74">
        <f t="shared" si="10"/>
        <v>60.74696376303109</v>
      </c>
    </row>
    <row r="75" spans="1:7" x14ac:dyDescent="0.35">
      <c r="A75" t="s">
        <v>75</v>
      </c>
      <c r="B75">
        <v>62.45</v>
      </c>
      <c r="C75">
        <f t="shared" si="6"/>
        <v>4.9763326066853356E-3</v>
      </c>
      <c r="D75">
        <f t="shared" si="7"/>
        <v>62.42199999999999</v>
      </c>
      <c r="E75">
        <f t="shared" si="8"/>
        <v>0.83450962594177081</v>
      </c>
      <c r="F75">
        <f t="shared" si="9"/>
        <v>64.091019251883537</v>
      </c>
      <c r="G75">
        <f t="shared" si="10"/>
        <v>60.75298074811645</v>
      </c>
    </row>
    <row r="76" spans="1:7" x14ac:dyDescent="0.35">
      <c r="A76" t="s">
        <v>76</v>
      </c>
      <c r="B76">
        <v>62.14</v>
      </c>
      <c r="C76">
        <f t="shared" si="6"/>
        <v>1.1271235393400887E-3</v>
      </c>
      <c r="D76">
        <f t="shared" si="7"/>
        <v>62.420500000000004</v>
      </c>
      <c r="E76">
        <f t="shared" si="8"/>
        <v>0.83448360962744061</v>
      </c>
      <c r="F76">
        <f t="shared" si="9"/>
        <v>64.089467219254885</v>
      </c>
      <c r="G76">
        <f t="shared" si="10"/>
        <v>60.751532780745123</v>
      </c>
    </row>
    <row r="77" spans="1:7" x14ac:dyDescent="0.35">
      <c r="A77" t="s">
        <v>77</v>
      </c>
      <c r="B77">
        <v>62.07</v>
      </c>
      <c r="C77">
        <f t="shared" si="6"/>
        <v>-6.2635714293711236E-3</v>
      </c>
      <c r="D77">
        <f t="shared" si="7"/>
        <v>62.462000000000003</v>
      </c>
      <c r="E77">
        <f t="shared" si="8"/>
        <v>0.84041718963356504</v>
      </c>
      <c r="F77">
        <f t="shared" si="9"/>
        <v>64.142834379267128</v>
      </c>
      <c r="G77">
        <f t="shared" si="10"/>
        <v>60.781165620732871</v>
      </c>
    </row>
    <row r="78" spans="1:7" x14ac:dyDescent="0.35">
      <c r="A78" t="s">
        <v>78</v>
      </c>
      <c r="B78">
        <v>62.46</v>
      </c>
      <c r="C78">
        <f t="shared" si="6"/>
        <v>1.1432376346845999E-2</v>
      </c>
      <c r="D78">
        <f t="shared" si="7"/>
        <v>62.494500000000016</v>
      </c>
      <c r="E78">
        <f t="shared" si="8"/>
        <v>0.83702150510007856</v>
      </c>
      <c r="F78">
        <f t="shared" si="9"/>
        <v>64.168543010200167</v>
      </c>
      <c r="G78">
        <f t="shared" si="10"/>
        <v>60.820456989799858</v>
      </c>
    </row>
    <row r="79" spans="1:7" x14ac:dyDescent="0.35">
      <c r="A79" t="s">
        <v>79</v>
      </c>
      <c r="B79">
        <v>61.75</v>
      </c>
      <c r="C79">
        <f t="shared" si="6"/>
        <v>-2.0834086902841914E-2</v>
      </c>
      <c r="D79">
        <f t="shared" si="7"/>
        <v>62.509500000000003</v>
      </c>
      <c r="E79">
        <f t="shared" si="8"/>
        <v>0.83905633083589215</v>
      </c>
      <c r="F79">
        <f t="shared" si="9"/>
        <v>64.187612661671793</v>
      </c>
      <c r="G79">
        <f t="shared" si="10"/>
        <v>60.83138733832822</v>
      </c>
    </row>
    <row r="80" spans="1:7" x14ac:dyDescent="0.35">
      <c r="A80" t="s">
        <v>80</v>
      </c>
      <c r="B80">
        <v>63.05</v>
      </c>
      <c r="C80">
        <f t="shared" si="6"/>
        <v>-2.059732963010616E-3</v>
      </c>
      <c r="D80">
        <f t="shared" si="7"/>
        <v>62.64200000000001</v>
      </c>
      <c r="E80">
        <f t="shared" si="8"/>
        <v>0.91830278231093365</v>
      </c>
      <c r="F80">
        <f t="shared" si="9"/>
        <v>64.478605564621873</v>
      </c>
      <c r="G80">
        <f t="shared" si="10"/>
        <v>60.80539443537814</v>
      </c>
    </row>
    <row r="81" spans="1:7" x14ac:dyDescent="0.35">
      <c r="A81" t="s">
        <v>81</v>
      </c>
      <c r="B81">
        <v>63.18</v>
      </c>
      <c r="C81">
        <f t="shared" si="6"/>
        <v>-6.7828953167737302E-3</v>
      </c>
      <c r="D81">
        <f t="shared" si="7"/>
        <v>62.697000000000017</v>
      </c>
      <c r="E81">
        <f t="shared" si="8"/>
        <v>0.97520362246207892</v>
      </c>
      <c r="F81">
        <f t="shared" si="9"/>
        <v>64.647407244924182</v>
      </c>
      <c r="G81">
        <f t="shared" si="10"/>
        <v>60.746592755075859</v>
      </c>
    </row>
    <row r="82" spans="1:7" x14ac:dyDescent="0.35">
      <c r="A82" t="s">
        <v>82</v>
      </c>
      <c r="B82">
        <v>63.61</v>
      </c>
      <c r="C82">
        <f t="shared" si="6"/>
        <v>2.0457950325045793E-3</v>
      </c>
      <c r="D82">
        <f t="shared" si="7"/>
        <v>62.740500000000011</v>
      </c>
      <c r="E82">
        <f t="shared" si="8"/>
        <v>1.0164151400102754</v>
      </c>
      <c r="F82">
        <f t="shared" si="9"/>
        <v>64.773330280020559</v>
      </c>
      <c r="G82">
        <f t="shared" si="10"/>
        <v>60.707669719979464</v>
      </c>
    </row>
    <row r="83" spans="1:7" x14ac:dyDescent="0.35">
      <c r="A83" t="s">
        <v>83</v>
      </c>
      <c r="B83">
        <v>63.48</v>
      </c>
      <c r="C83">
        <f t="shared" si="6"/>
        <v>-1.7313296211081824E-3</v>
      </c>
      <c r="D83">
        <f t="shared" si="7"/>
        <v>62.777000000000001</v>
      </c>
      <c r="E83">
        <f t="shared" si="8"/>
        <v>1.0613948122015786</v>
      </c>
      <c r="F83">
        <f t="shared" si="9"/>
        <v>64.899789624403155</v>
      </c>
      <c r="G83">
        <f t="shared" si="10"/>
        <v>60.654210375596847</v>
      </c>
    </row>
    <row r="84" spans="1:7" x14ac:dyDescent="0.35">
      <c r="A84" t="s">
        <v>84</v>
      </c>
      <c r="B84">
        <v>63.59</v>
      </c>
      <c r="C84">
        <f t="shared" si="6"/>
        <v>2.5192896335107418E-3</v>
      </c>
      <c r="D84">
        <f t="shared" si="7"/>
        <v>62.85</v>
      </c>
      <c r="E84">
        <f t="shared" si="8"/>
        <v>1.1580928060256761</v>
      </c>
      <c r="F84">
        <f t="shared" si="9"/>
        <v>65.166185612051351</v>
      </c>
      <c r="G84">
        <f t="shared" si="10"/>
        <v>60.533814387948652</v>
      </c>
    </row>
    <row r="85" spans="1:7" x14ac:dyDescent="0.35">
      <c r="A85" t="s">
        <v>85</v>
      </c>
      <c r="B85">
        <v>63.43</v>
      </c>
      <c r="C85">
        <f t="shared" si="6"/>
        <v>7.2785131451544825E-3</v>
      </c>
      <c r="D85">
        <f t="shared" si="7"/>
        <v>62.899999999999991</v>
      </c>
      <c r="E85">
        <f t="shared" si="8"/>
        <v>1.2120534989061043</v>
      </c>
      <c r="F85">
        <f t="shared" si="9"/>
        <v>65.324106997812194</v>
      </c>
      <c r="G85">
        <f t="shared" si="10"/>
        <v>60.475893002187782</v>
      </c>
    </row>
    <row r="86" spans="1:7" x14ac:dyDescent="0.35">
      <c r="A86" t="s">
        <v>86</v>
      </c>
      <c r="B86">
        <v>62.97</v>
      </c>
      <c r="C86">
        <f t="shared" si="6"/>
        <v>2.3849283901508562E-3</v>
      </c>
      <c r="D86">
        <f t="shared" si="7"/>
        <v>63.012500000000003</v>
      </c>
      <c r="E86">
        <f t="shared" si="8"/>
        <v>1.359310486974924</v>
      </c>
      <c r="F86">
        <f t="shared" si="9"/>
        <v>65.731120973949857</v>
      </c>
      <c r="G86">
        <f t="shared" si="10"/>
        <v>60.293879026050156</v>
      </c>
    </row>
    <row r="87" spans="1:7" x14ac:dyDescent="0.35">
      <c r="A87" t="s">
        <v>87</v>
      </c>
      <c r="B87">
        <v>62.82</v>
      </c>
      <c r="C87">
        <f t="shared" si="6"/>
        <v>1.2171835090266392E-2</v>
      </c>
      <c r="D87">
        <f t="shared" si="7"/>
        <v>63.160499999999999</v>
      </c>
      <c r="E87">
        <f t="shared" si="8"/>
        <v>1.507502203891208</v>
      </c>
      <c r="F87">
        <f t="shared" si="9"/>
        <v>66.175504407782412</v>
      </c>
      <c r="G87">
        <f t="shared" si="10"/>
        <v>60.145495592217586</v>
      </c>
    </row>
    <row r="88" spans="1:7" x14ac:dyDescent="0.35">
      <c r="A88" t="s">
        <v>88</v>
      </c>
      <c r="B88">
        <v>62.06</v>
      </c>
      <c r="C88">
        <f t="shared" si="6"/>
        <v>6.4662365622299928E-3</v>
      </c>
      <c r="D88">
        <f t="shared" si="7"/>
        <v>63.334500000000006</v>
      </c>
      <c r="E88">
        <f t="shared" si="8"/>
        <v>1.6593228644302647</v>
      </c>
      <c r="F88">
        <f t="shared" si="9"/>
        <v>66.653145728860537</v>
      </c>
      <c r="G88">
        <f t="shared" si="10"/>
        <v>60.015854271139474</v>
      </c>
    </row>
    <row r="89" spans="1:7" x14ac:dyDescent="0.35">
      <c r="A89" t="s">
        <v>89</v>
      </c>
      <c r="B89">
        <v>61.66</v>
      </c>
      <c r="C89">
        <f t="shared" si="6"/>
        <v>1.1745648900441202E-2</v>
      </c>
      <c r="D89">
        <f t="shared" si="7"/>
        <v>63.581499999999991</v>
      </c>
      <c r="E89">
        <f t="shared" si="8"/>
        <v>1.8195582893716429</v>
      </c>
      <c r="F89">
        <f t="shared" si="9"/>
        <v>67.220616578743275</v>
      </c>
      <c r="G89">
        <f t="shared" si="10"/>
        <v>59.942383421256707</v>
      </c>
    </row>
    <row r="90" spans="1:7" x14ac:dyDescent="0.35">
      <c r="A90" t="s">
        <v>90</v>
      </c>
      <c r="B90">
        <v>60.94</v>
      </c>
      <c r="C90">
        <f t="shared" si="6"/>
        <v>1.8066852249490513E-3</v>
      </c>
      <c r="D90">
        <f t="shared" si="7"/>
        <v>63.919500000000006</v>
      </c>
      <c r="E90">
        <f t="shared" si="8"/>
        <v>2.0563009072245815</v>
      </c>
      <c r="F90">
        <f t="shared" si="9"/>
        <v>68.032101814449163</v>
      </c>
      <c r="G90">
        <f t="shared" si="10"/>
        <v>59.806898185550843</v>
      </c>
    </row>
    <row r="91" spans="1:7" x14ac:dyDescent="0.35">
      <c r="A91" t="s">
        <v>91</v>
      </c>
      <c r="B91">
        <v>60.83</v>
      </c>
      <c r="C91">
        <f t="shared" si="6"/>
        <v>-1.2903404835907841E-2</v>
      </c>
      <c r="D91">
        <f t="shared" si="7"/>
        <v>64.293500000000009</v>
      </c>
      <c r="E91">
        <f t="shared" si="8"/>
        <v>2.1633144039936316</v>
      </c>
      <c r="F91">
        <f t="shared" si="9"/>
        <v>68.620128807987271</v>
      </c>
      <c r="G91">
        <f t="shared" si="10"/>
        <v>59.966871192012746</v>
      </c>
    </row>
    <row r="92" spans="1:7" x14ac:dyDescent="0.35">
      <c r="A92" t="s">
        <v>92</v>
      </c>
      <c r="B92">
        <v>61.62</v>
      </c>
      <c r="C92">
        <f t="shared" si="6"/>
        <v>-7.2762872570395539E-3</v>
      </c>
      <c r="D92">
        <f t="shared" si="7"/>
        <v>64.722000000000008</v>
      </c>
      <c r="E92">
        <f t="shared" si="8"/>
        <v>2.2864235459728266</v>
      </c>
      <c r="F92">
        <f t="shared" si="9"/>
        <v>69.294847091945655</v>
      </c>
      <c r="G92">
        <f t="shared" si="10"/>
        <v>60.149152908054354</v>
      </c>
    </row>
    <row r="93" spans="1:7" x14ac:dyDescent="0.35">
      <c r="A93" t="s">
        <v>93</v>
      </c>
      <c r="B93">
        <v>62.07</v>
      </c>
      <c r="C93">
        <f t="shared" si="6"/>
        <v>-3.0563845879007473E-3</v>
      </c>
      <c r="D93">
        <f t="shared" si="7"/>
        <v>65.084500000000006</v>
      </c>
      <c r="E93">
        <f t="shared" si="8"/>
        <v>2.34276371879566</v>
      </c>
      <c r="F93">
        <f t="shared" si="9"/>
        <v>69.770027437591324</v>
      </c>
      <c r="G93">
        <f t="shared" si="10"/>
        <v>60.398972562408687</v>
      </c>
    </row>
    <row r="94" spans="1:7" x14ac:dyDescent="0.35">
      <c r="A94" t="s">
        <v>94</v>
      </c>
      <c r="B94">
        <v>62.26</v>
      </c>
      <c r="C94">
        <f t="shared" si="6"/>
        <v>-2.5665718291712891E-3</v>
      </c>
      <c r="D94">
        <f t="shared" si="7"/>
        <v>65.45750000000001</v>
      </c>
      <c r="E94">
        <f t="shared" si="8"/>
        <v>2.4298037066050386</v>
      </c>
      <c r="F94">
        <f t="shared" si="9"/>
        <v>70.317107413210081</v>
      </c>
      <c r="G94">
        <f t="shared" si="10"/>
        <v>60.597892586789932</v>
      </c>
    </row>
    <row r="95" spans="1:7" x14ac:dyDescent="0.35">
      <c r="A95" t="s">
        <v>95</v>
      </c>
      <c r="B95">
        <v>62.42</v>
      </c>
      <c r="C95">
        <f t="shared" si="6"/>
        <v>-8.7726856580178821E-3</v>
      </c>
      <c r="D95">
        <f t="shared" si="7"/>
        <v>65.8095</v>
      </c>
      <c r="E95">
        <f t="shared" si="8"/>
        <v>2.4520420598264412</v>
      </c>
      <c r="F95">
        <f t="shared" si="9"/>
        <v>70.713584119652879</v>
      </c>
      <c r="G95">
        <f t="shared" si="10"/>
        <v>60.905415880347121</v>
      </c>
    </row>
    <row r="96" spans="1:7" x14ac:dyDescent="0.35">
      <c r="A96" t="s">
        <v>96</v>
      </c>
      <c r="B96">
        <v>62.97</v>
      </c>
      <c r="C96">
        <f t="shared" si="6"/>
        <v>3.9780464584988854E-3</v>
      </c>
      <c r="D96">
        <f t="shared" si="7"/>
        <v>66.153499999999994</v>
      </c>
      <c r="E96">
        <f t="shared" si="8"/>
        <v>2.4340334188770969</v>
      </c>
      <c r="F96">
        <f t="shared" si="9"/>
        <v>71.021566837754193</v>
      </c>
      <c r="G96">
        <f t="shared" si="10"/>
        <v>61.285433162245802</v>
      </c>
    </row>
    <row r="97" spans="1:7" x14ac:dyDescent="0.35">
      <c r="A97" t="s">
        <v>97</v>
      </c>
      <c r="B97">
        <v>62.72</v>
      </c>
      <c r="C97">
        <f t="shared" si="6"/>
        <v>-6.3755182267942923E-4</v>
      </c>
      <c r="D97">
        <f t="shared" si="7"/>
        <v>66.431999999999988</v>
      </c>
      <c r="E97">
        <f t="shared" si="8"/>
        <v>2.3683807481950732</v>
      </c>
      <c r="F97">
        <f t="shared" si="9"/>
        <v>71.168761496390132</v>
      </c>
      <c r="G97">
        <f t="shared" si="10"/>
        <v>61.695238503609843</v>
      </c>
    </row>
    <row r="98" spans="1:7" x14ac:dyDescent="0.35">
      <c r="A98" t="s">
        <v>98</v>
      </c>
      <c r="B98">
        <v>62.76</v>
      </c>
      <c r="C98">
        <f t="shared" ref="C98:C129" si="11">LN(B98/B99)</f>
        <v>-2.5795705245476263E-2</v>
      </c>
      <c r="D98">
        <f t="shared" si="7"/>
        <v>66.707499999999996</v>
      </c>
      <c r="E98">
        <f t="shared" si="8"/>
        <v>2.230307684697574</v>
      </c>
      <c r="F98">
        <f t="shared" si="9"/>
        <v>71.168115369395139</v>
      </c>
      <c r="G98">
        <f t="shared" si="10"/>
        <v>62.246884630604846</v>
      </c>
    </row>
    <row r="99" spans="1:7" x14ac:dyDescent="0.35">
      <c r="A99" t="s">
        <v>99</v>
      </c>
      <c r="B99">
        <v>64.400000000000006</v>
      </c>
      <c r="C99">
        <f t="shared" si="11"/>
        <v>3.8895420486625529E-3</v>
      </c>
      <c r="D99">
        <f t="shared" si="7"/>
        <v>66.996499999999997</v>
      </c>
      <c r="E99">
        <f t="shared" si="8"/>
        <v>2.0598422908460474</v>
      </c>
      <c r="F99">
        <f t="shared" si="9"/>
        <v>71.116184581692096</v>
      </c>
      <c r="G99">
        <f t="shared" si="10"/>
        <v>62.876815418307899</v>
      </c>
    </row>
    <row r="100" spans="1:7" x14ac:dyDescent="0.35">
      <c r="A100" t="s">
        <v>100</v>
      </c>
      <c r="B100">
        <v>64.150000000000006</v>
      </c>
      <c r="C100">
        <f t="shared" si="11"/>
        <v>1.560062718902406E-3</v>
      </c>
      <c r="D100">
        <f t="shared" si="7"/>
        <v>67.184499999999986</v>
      </c>
      <c r="E100">
        <f t="shared" si="8"/>
        <v>1.9804451254040951</v>
      </c>
      <c r="F100">
        <f t="shared" si="9"/>
        <v>71.145390250808177</v>
      </c>
      <c r="G100">
        <f t="shared" si="10"/>
        <v>63.223609749191795</v>
      </c>
    </row>
    <row r="101" spans="1:7" x14ac:dyDescent="0.35">
      <c r="A101" t="s">
        <v>101</v>
      </c>
      <c r="B101">
        <v>64.05</v>
      </c>
      <c r="C101">
        <f t="shared" si="11"/>
        <v>-4.5174934681371046E-3</v>
      </c>
      <c r="D101">
        <f t="shared" si="7"/>
        <v>67.376499999999993</v>
      </c>
      <c r="E101">
        <f t="shared" si="8"/>
        <v>1.8527995176574228</v>
      </c>
      <c r="F101">
        <f t="shared" si="9"/>
        <v>71.08209903531484</v>
      </c>
      <c r="G101">
        <f t="shared" si="10"/>
        <v>63.670900964685146</v>
      </c>
    </row>
    <row r="102" spans="1:7" x14ac:dyDescent="0.35">
      <c r="A102" t="s">
        <v>102</v>
      </c>
      <c r="B102">
        <v>64.34</v>
      </c>
      <c r="C102">
        <f t="shared" si="11"/>
        <v>-9.2822448638194971E-3</v>
      </c>
      <c r="D102">
        <f t="shared" si="7"/>
        <v>67.630499999999984</v>
      </c>
      <c r="E102">
        <f t="shared" si="8"/>
        <v>1.7159207287542215</v>
      </c>
      <c r="F102">
        <f t="shared" si="9"/>
        <v>71.062341457508424</v>
      </c>
      <c r="G102">
        <f t="shared" si="10"/>
        <v>64.198658542491543</v>
      </c>
    </row>
    <row r="103" spans="1:7" x14ac:dyDescent="0.35">
      <c r="A103" t="s">
        <v>103</v>
      </c>
      <c r="B103">
        <v>64.94</v>
      </c>
      <c r="C103">
        <f t="shared" si="11"/>
        <v>5.4041666303184287E-3</v>
      </c>
      <c r="D103">
        <f t="shared" si="7"/>
        <v>67.887500000000003</v>
      </c>
      <c r="E103">
        <f t="shared" si="8"/>
        <v>1.576397875905031</v>
      </c>
      <c r="F103">
        <f t="shared" si="9"/>
        <v>71.040295751810064</v>
      </c>
      <c r="G103">
        <f t="shared" si="10"/>
        <v>64.734704248189942</v>
      </c>
    </row>
    <row r="104" spans="1:7" x14ac:dyDescent="0.35">
      <c r="A104" t="s">
        <v>104</v>
      </c>
      <c r="B104">
        <v>64.59</v>
      </c>
      <c r="C104">
        <f t="shared" si="11"/>
        <v>-1.673486509979151E-2</v>
      </c>
      <c r="D104">
        <f t="shared" si="7"/>
        <v>68.138499999999993</v>
      </c>
      <c r="E104">
        <f t="shared" si="8"/>
        <v>1.4790298207021764</v>
      </c>
      <c r="F104">
        <f t="shared" si="9"/>
        <v>71.09655964140434</v>
      </c>
      <c r="G104">
        <f t="shared" si="10"/>
        <v>65.180440358595646</v>
      </c>
    </row>
    <row r="105" spans="1:7" x14ac:dyDescent="0.35">
      <c r="A105" t="s">
        <v>105</v>
      </c>
      <c r="B105">
        <v>65.680000000000007</v>
      </c>
      <c r="C105">
        <f t="shared" si="11"/>
        <v>-3.7991079810355457E-3</v>
      </c>
      <c r="D105">
        <f t="shared" si="7"/>
        <v>68.441499999999991</v>
      </c>
      <c r="E105">
        <f t="shared" si="8"/>
        <v>1.3267025804007857</v>
      </c>
      <c r="F105">
        <f t="shared" si="9"/>
        <v>71.094905160801559</v>
      </c>
      <c r="G105">
        <f t="shared" si="10"/>
        <v>65.788094839198422</v>
      </c>
    </row>
    <row r="106" spans="1:7" x14ac:dyDescent="0.35">
      <c r="A106" t="s">
        <v>106</v>
      </c>
      <c r="B106">
        <v>65.930000000000007</v>
      </c>
      <c r="C106">
        <f t="shared" si="11"/>
        <v>-5.5963240666084078E-3</v>
      </c>
      <c r="D106">
        <f t="shared" si="7"/>
        <v>68.697500000000005</v>
      </c>
      <c r="E106">
        <f t="shared" si="8"/>
        <v>1.2579970504525706</v>
      </c>
      <c r="F106">
        <f t="shared" si="9"/>
        <v>71.213494100905152</v>
      </c>
      <c r="G106">
        <f t="shared" si="10"/>
        <v>66.181505899094859</v>
      </c>
    </row>
    <row r="107" spans="1:7" x14ac:dyDescent="0.35">
      <c r="A107" t="s">
        <v>107</v>
      </c>
      <c r="B107">
        <v>66.3</v>
      </c>
      <c r="C107">
        <f t="shared" si="11"/>
        <v>-1.0502722199149288E-2</v>
      </c>
      <c r="D107">
        <f t="shared" si="7"/>
        <v>68.9375</v>
      </c>
      <c r="E107">
        <f t="shared" si="8"/>
        <v>1.1559588182429708</v>
      </c>
      <c r="F107">
        <f t="shared" si="9"/>
        <v>71.249417636485944</v>
      </c>
      <c r="G107">
        <f t="shared" si="10"/>
        <v>66.625582363514056</v>
      </c>
    </row>
    <row r="108" spans="1:7" x14ac:dyDescent="0.35">
      <c r="A108" t="s">
        <v>108</v>
      </c>
      <c r="B108">
        <v>67</v>
      </c>
      <c r="C108">
        <f t="shared" si="11"/>
        <v>-2.0972560158492585E-2</v>
      </c>
      <c r="D108">
        <f t="shared" si="7"/>
        <v>69.139499999999998</v>
      </c>
      <c r="E108">
        <f t="shared" si="8"/>
        <v>1.0152286493821558</v>
      </c>
      <c r="F108">
        <f t="shared" si="9"/>
        <v>71.169957298764317</v>
      </c>
      <c r="G108">
        <f t="shared" si="10"/>
        <v>67.10904270123568</v>
      </c>
    </row>
    <row r="109" spans="1:7" x14ac:dyDescent="0.35">
      <c r="A109" t="s">
        <v>109</v>
      </c>
      <c r="B109">
        <v>68.42</v>
      </c>
      <c r="C109">
        <f t="shared" si="11"/>
        <v>0</v>
      </c>
      <c r="D109">
        <f t="shared" si="7"/>
        <v>69.308999999999997</v>
      </c>
      <c r="E109">
        <f t="shared" si="8"/>
        <v>0.91751322950450687</v>
      </c>
      <c r="F109">
        <f t="shared" si="9"/>
        <v>71.144026459009012</v>
      </c>
      <c r="G109">
        <f t="shared" si="10"/>
        <v>67.473973540990983</v>
      </c>
    </row>
    <row r="110" spans="1:7" x14ac:dyDescent="0.35">
      <c r="A110" t="s">
        <v>110</v>
      </c>
      <c r="B110">
        <v>68.42</v>
      </c>
      <c r="C110">
        <f t="shared" si="11"/>
        <v>-1.4221687963300225E-2</v>
      </c>
      <c r="D110">
        <f t="shared" si="7"/>
        <v>69.401499999999999</v>
      </c>
      <c r="E110">
        <f t="shared" si="8"/>
        <v>0.91642483253358553</v>
      </c>
      <c r="F110">
        <f t="shared" si="9"/>
        <v>71.234349665067171</v>
      </c>
      <c r="G110">
        <f t="shared" si="10"/>
        <v>67.568650334932826</v>
      </c>
    </row>
    <row r="111" spans="1:7" x14ac:dyDescent="0.35">
      <c r="A111" t="s">
        <v>111</v>
      </c>
      <c r="B111">
        <v>69.400000000000006</v>
      </c>
      <c r="C111">
        <f t="shared" si="11"/>
        <v>7.6661979561519272E-3</v>
      </c>
      <c r="D111">
        <f t="shared" si="7"/>
        <v>69.51400000000001</v>
      </c>
      <c r="E111">
        <f t="shared" si="8"/>
        <v>0.92763082493437077</v>
      </c>
      <c r="F111">
        <f t="shared" si="9"/>
        <v>71.369261649868747</v>
      </c>
      <c r="G111">
        <f t="shared" si="10"/>
        <v>67.658738350131273</v>
      </c>
    </row>
    <row r="112" spans="1:7" x14ac:dyDescent="0.35">
      <c r="A112" t="s">
        <v>112</v>
      </c>
      <c r="B112">
        <v>68.87</v>
      </c>
      <c r="C112">
        <f t="shared" si="11"/>
        <v>-9.5376445543195864E-3</v>
      </c>
      <c r="D112">
        <f t="shared" si="7"/>
        <v>69.573000000000008</v>
      </c>
      <c r="E112">
        <f t="shared" si="8"/>
        <v>0.95705744204223231</v>
      </c>
      <c r="F112">
        <f t="shared" si="9"/>
        <v>71.487114884084477</v>
      </c>
      <c r="G112">
        <f t="shared" si="10"/>
        <v>67.658885115915538</v>
      </c>
    </row>
    <row r="113" spans="1:7" x14ac:dyDescent="0.35">
      <c r="A113" t="s">
        <v>113</v>
      </c>
      <c r="B113">
        <v>69.53</v>
      </c>
      <c r="C113">
        <f t="shared" si="11"/>
        <v>3.3134079150689789E-3</v>
      </c>
      <c r="D113">
        <f t="shared" si="7"/>
        <v>69.608000000000004</v>
      </c>
      <c r="E113">
        <f t="shared" si="8"/>
        <v>0.94268708878843854</v>
      </c>
      <c r="F113">
        <f t="shared" si="9"/>
        <v>71.493374177576882</v>
      </c>
      <c r="G113">
        <f t="shared" si="10"/>
        <v>67.722625822423126</v>
      </c>
    </row>
    <row r="114" spans="1:7" x14ac:dyDescent="0.35">
      <c r="A114" t="s">
        <v>114</v>
      </c>
      <c r="B114">
        <v>69.3</v>
      </c>
      <c r="C114">
        <f t="shared" si="11"/>
        <v>0</v>
      </c>
      <c r="D114">
        <f t="shared" si="7"/>
        <v>69.666000000000011</v>
      </c>
      <c r="E114">
        <f t="shared" si="8"/>
        <v>0.97283849473697603</v>
      </c>
      <c r="F114">
        <f t="shared" si="9"/>
        <v>71.611676989473963</v>
      </c>
      <c r="G114">
        <f t="shared" si="10"/>
        <v>67.720323010526059</v>
      </c>
    </row>
    <row r="115" spans="1:7" x14ac:dyDescent="0.35">
      <c r="A115" t="s">
        <v>115</v>
      </c>
      <c r="B115">
        <v>69.3</v>
      </c>
      <c r="C115">
        <f t="shared" si="11"/>
        <v>1.1027389749394635E-2</v>
      </c>
      <c r="D115">
        <f t="shared" si="7"/>
        <v>69.738</v>
      </c>
      <c r="E115">
        <f t="shared" si="8"/>
        <v>0.99730478897138686</v>
      </c>
      <c r="F115">
        <f t="shared" si="9"/>
        <v>71.732609577942767</v>
      </c>
      <c r="G115">
        <f t="shared" si="10"/>
        <v>67.743390422057232</v>
      </c>
    </row>
    <row r="116" spans="1:7" x14ac:dyDescent="0.35">
      <c r="A116" t="s">
        <v>116</v>
      </c>
      <c r="B116">
        <v>68.540000000000006</v>
      </c>
      <c r="C116">
        <f t="shared" si="11"/>
        <v>4.5331656191306179E-3</v>
      </c>
      <c r="D116">
        <f t="shared" si="7"/>
        <v>69.8245</v>
      </c>
      <c r="E116">
        <f t="shared" si="8"/>
        <v>1.0317459652657259</v>
      </c>
      <c r="F116">
        <f t="shared" si="9"/>
        <v>71.887991930531456</v>
      </c>
      <c r="G116">
        <f t="shared" si="10"/>
        <v>67.761008069468545</v>
      </c>
    </row>
    <row r="117" spans="1:7" x14ac:dyDescent="0.35">
      <c r="A117" t="s">
        <v>117</v>
      </c>
      <c r="B117">
        <v>68.23</v>
      </c>
      <c r="C117">
        <f t="shared" si="11"/>
        <v>-4.5331656191305147E-3</v>
      </c>
      <c r="D117">
        <f t="shared" si="7"/>
        <v>69.914999999999992</v>
      </c>
      <c r="E117">
        <f t="shared" si="8"/>
        <v>0.99175283423367466</v>
      </c>
      <c r="F117">
        <f t="shared" si="9"/>
        <v>71.898505668467337</v>
      </c>
      <c r="G117">
        <f t="shared" si="10"/>
        <v>67.931494331532647</v>
      </c>
    </row>
    <row r="118" spans="1:7" x14ac:dyDescent="0.35">
      <c r="A118" t="s">
        <v>118</v>
      </c>
      <c r="B118">
        <v>68.540000000000006</v>
      </c>
      <c r="C118">
        <f t="shared" si="11"/>
        <v>5.5596339254026855E-3</v>
      </c>
      <c r="D118">
        <f t="shared" si="7"/>
        <v>69.988500000000002</v>
      </c>
      <c r="E118">
        <f t="shared" si="8"/>
        <v>0.91153009015783959</v>
      </c>
      <c r="F118">
        <f t="shared" si="9"/>
        <v>71.811560180315681</v>
      </c>
      <c r="G118">
        <f t="shared" si="10"/>
        <v>68.165439819684323</v>
      </c>
    </row>
    <row r="119" spans="1:7" x14ac:dyDescent="0.35">
      <c r="A119" t="s">
        <v>119</v>
      </c>
      <c r="B119">
        <v>68.16</v>
      </c>
      <c r="C119">
        <f t="shared" si="11"/>
        <v>2.4972469826921029E-3</v>
      </c>
      <c r="D119">
        <f t="shared" si="7"/>
        <v>70.039000000000001</v>
      </c>
      <c r="E119">
        <f t="shared" si="8"/>
        <v>0.85316685601969355</v>
      </c>
      <c r="F119">
        <f t="shared" si="9"/>
        <v>71.745333712039383</v>
      </c>
      <c r="G119">
        <f t="shared" si="10"/>
        <v>68.33266628796062</v>
      </c>
    </row>
    <row r="120" spans="1:7" x14ac:dyDescent="0.35">
      <c r="A120" t="s">
        <v>120</v>
      </c>
      <c r="B120">
        <v>67.989999999999995</v>
      </c>
      <c r="C120">
        <f t="shared" si="11"/>
        <v>-1.6628154418805323E-2</v>
      </c>
      <c r="D120">
        <f t="shared" si="7"/>
        <v>70.131499999999988</v>
      </c>
      <c r="E120">
        <f t="shared" si="8"/>
        <v>0.73014255998040445</v>
      </c>
      <c r="F120">
        <f t="shared" si="9"/>
        <v>71.591785119960804</v>
      </c>
      <c r="G120">
        <f t="shared" si="10"/>
        <v>68.671214880039173</v>
      </c>
    </row>
    <row r="121" spans="1:7" x14ac:dyDescent="0.35">
      <c r="A121" t="s">
        <v>121</v>
      </c>
      <c r="B121">
        <v>69.13</v>
      </c>
      <c r="C121">
        <f t="shared" si="11"/>
        <v>-5.0501514157306167E-3</v>
      </c>
      <c r="D121">
        <f t="shared" si="7"/>
        <v>70.246999999999986</v>
      </c>
      <c r="E121">
        <f t="shared" si="8"/>
        <v>0.52838482786297924</v>
      </c>
      <c r="F121">
        <f t="shared" si="9"/>
        <v>71.303769655725944</v>
      </c>
      <c r="G121">
        <f t="shared" si="10"/>
        <v>69.190230344274028</v>
      </c>
    </row>
    <row r="122" spans="1:7" x14ac:dyDescent="0.35">
      <c r="A122" t="s">
        <v>122</v>
      </c>
      <c r="B122">
        <v>69.48</v>
      </c>
      <c r="C122">
        <f t="shared" si="11"/>
        <v>-6.8847087774970318E-3</v>
      </c>
      <c r="D122">
        <f t="shared" si="7"/>
        <v>70.270999999999987</v>
      </c>
      <c r="E122">
        <f t="shared" si="8"/>
        <v>0.48401718107826258</v>
      </c>
      <c r="F122">
        <f t="shared" si="9"/>
        <v>71.239034362156517</v>
      </c>
      <c r="G122">
        <f t="shared" si="10"/>
        <v>69.302965637843457</v>
      </c>
    </row>
    <row r="123" spans="1:7" x14ac:dyDescent="0.35">
      <c r="A123" t="s">
        <v>123</v>
      </c>
      <c r="B123">
        <v>69.959999999999994</v>
      </c>
      <c r="C123">
        <f t="shared" si="11"/>
        <v>-9.8144589801353477E-3</v>
      </c>
      <c r="D123">
        <f t="shared" si="7"/>
        <v>70.278999999999996</v>
      </c>
      <c r="E123">
        <f t="shared" si="8"/>
        <v>0.47141332853005979</v>
      </c>
      <c r="F123">
        <f t="shared" si="9"/>
        <v>71.22182665706012</v>
      </c>
      <c r="G123">
        <f t="shared" si="10"/>
        <v>69.336173342939873</v>
      </c>
    </row>
    <row r="124" spans="1:7" x14ac:dyDescent="0.35">
      <c r="A124" t="s">
        <v>124</v>
      </c>
      <c r="B124">
        <v>70.650000000000006</v>
      </c>
      <c r="C124">
        <f t="shared" si="11"/>
        <v>-2.1208915691375133E-3</v>
      </c>
      <c r="D124">
        <f t="shared" si="7"/>
        <v>70.331000000000003</v>
      </c>
      <c r="E124">
        <f t="shared" si="8"/>
        <v>0.49131295632481753</v>
      </c>
      <c r="F124">
        <f t="shared" si="9"/>
        <v>71.313625912649641</v>
      </c>
      <c r="G124">
        <f t="shared" si="10"/>
        <v>69.348374087350365</v>
      </c>
    </row>
    <row r="125" spans="1:7" x14ac:dyDescent="0.35">
      <c r="A125" t="s">
        <v>125</v>
      </c>
      <c r="B125">
        <v>70.8</v>
      </c>
      <c r="C125">
        <f t="shared" si="11"/>
        <v>9.8918965177551238E-4</v>
      </c>
      <c r="D125">
        <f t="shared" si="7"/>
        <v>70.370500000000007</v>
      </c>
      <c r="E125">
        <f t="shared" si="8"/>
        <v>0.54691936286228182</v>
      </c>
      <c r="F125">
        <f t="shared" si="9"/>
        <v>71.464338725724573</v>
      </c>
      <c r="G125">
        <f t="shared" si="10"/>
        <v>69.27666127427544</v>
      </c>
    </row>
    <row r="126" spans="1:7" x14ac:dyDescent="0.35">
      <c r="A126" t="s">
        <v>126</v>
      </c>
      <c r="B126">
        <v>70.73</v>
      </c>
      <c r="C126">
        <f t="shared" si="11"/>
        <v>5.5291840020622153E-3</v>
      </c>
      <c r="D126">
        <f t="shared" si="7"/>
        <v>70.376000000000005</v>
      </c>
      <c r="E126">
        <f t="shared" si="8"/>
        <v>0.55199542332198825</v>
      </c>
      <c r="F126">
        <f t="shared" si="9"/>
        <v>71.479990846643986</v>
      </c>
      <c r="G126">
        <f t="shared" si="10"/>
        <v>69.272009153356024</v>
      </c>
    </row>
    <row r="127" spans="1:7" x14ac:dyDescent="0.35">
      <c r="A127" t="s">
        <v>127</v>
      </c>
      <c r="B127">
        <v>70.34</v>
      </c>
      <c r="C127">
        <f t="shared" si="11"/>
        <v>-7.1058057420375685E-4</v>
      </c>
      <c r="D127">
        <f t="shared" si="7"/>
        <v>70.364500000000007</v>
      </c>
      <c r="E127">
        <f t="shared" si="8"/>
        <v>0.54660170238724237</v>
      </c>
      <c r="F127">
        <f t="shared" si="9"/>
        <v>71.457703404774492</v>
      </c>
      <c r="G127">
        <f t="shared" si="10"/>
        <v>69.271296595225522</v>
      </c>
    </row>
    <row r="128" spans="1:7" x14ac:dyDescent="0.35">
      <c r="A128" t="s">
        <v>128</v>
      </c>
      <c r="B128">
        <v>70.39</v>
      </c>
      <c r="C128">
        <f t="shared" si="11"/>
        <v>1.7062424159339222E-3</v>
      </c>
      <c r="D128">
        <f t="shared" si="7"/>
        <v>70.358000000000004</v>
      </c>
      <c r="E128">
        <f t="shared" si="8"/>
        <v>0.54768027553539511</v>
      </c>
      <c r="F128">
        <f t="shared" si="9"/>
        <v>71.453360551070801</v>
      </c>
      <c r="G128">
        <f t="shared" si="10"/>
        <v>69.262639448929207</v>
      </c>
    </row>
    <row r="129" spans="1:7" x14ac:dyDescent="0.35">
      <c r="A129" t="s">
        <v>129</v>
      </c>
      <c r="B129">
        <v>70.27</v>
      </c>
      <c r="C129">
        <f t="shared" si="11"/>
        <v>-5.6761894986566506E-3</v>
      </c>
      <c r="D129">
        <f t="shared" si="7"/>
        <v>70.336500000000015</v>
      </c>
      <c r="E129">
        <f t="shared" si="8"/>
        <v>0.55475243411624142</v>
      </c>
      <c r="F129">
        <f t="shared" si="9"/>
        <v>71.446004868232492</v>
      </c>
      <c r="G129">
        <f t="shared" si="10"/>
        <v>69.226995131767538</v>
      </c>
    </row>
    <row r="130" spans="1:7" x14ac:dyDescent="0.35">
      <c r="A130" t="s">
        <v>130</v>
      </c>
      <c r="B130">
        <v>70.67</v>
      </c>
      <c r="C130">
        <f t="shared" ref="C130:C161" si="12">LN(B130/B131)</f>
        <v>1.2743364556390979E-3</v>
      </c>
      <c r="D130">
        <f t="shared" si="7"/>
        <v>70.289000000000001</v>
      </c>
      <c r="E130">
        <f t="shared" si="8"/>
        <v>0.59960425545345775</v>
      </c>
      <c r="F130">
        <f t="shared" si="9"/>
        <v>71.488208510906915</v>
      </c>
      <c r="G130">
        <f t="shared" si="10"/>
        <v>69.089791489093088</v>
      </c>
    </row>
    <row r="131" spans="1:7" x14ac:dyDescent="0.35">
      <c r="A131" t="s">
        <v>131</v>
      </c>
      <c r="B131">
        <v>70.58</v>
      </c>
      <c r="C131">
        <f t="shared" si="12"/>
        <v>1.4413378311574198E-2</v>
      </c>
      <c r="D131">
        <f t="shared" ref="D131:D187" si="13" xml:space="preserve"> AVERAGE(B131:B150)</f>
        <v>70.17</v>
      </c>
      <c r="E131">
        <f t="shared" ref="E131:E187" si="14" xml:space="preserve"> _xlfn.STDEV.S(B131:B150)</f>
        <v>0.7397937123564271</v>
      </c>
      <c r="F131">
        <f t="shared" ref="F131:F187" si="15" xml:space="preserve"> D131 + (2 * E131)</f>
        <v>71.649587424712863</v>
      </c>
      <c r="G131">
        <f t="shared" ref="G131:G187" si="16" xml:space="preserve"> D131 - (2 * E131)</f>
        <v>68.690412575287141</v>
      </c>
    </row>
    <row r="132" spans="1:7" x14ac:dyDescent="0.35">
      <c r="A132" t="s">
        <v>132</v>
      </c>
      <c r="B132">
        <v>69.569999999999993</v>
      </c>
      <c r="C132">
        <f t="shared" si="12"/>
        <v>-1.5970680247312775E-2</v>
      </c>
      <c r="D132">
        <f t="shared" si="13"/>
        <v>70.032999999999987</v>
      </c>
      <c r="E132">
        <f t="shared" si="14"/>
        <v>0.89689581628144277</v>
      </c>
      <c r="F132">
        <f t="shared" si="15"/>
        <v>71.826791632562873</v>
      </c>
      <c r="G132">
        <f t="shared" si="16"/>
        <v>68.239208367437101</v>
      </c>
    </row>
    <row r="133" spans="1:7" x14ac:dyDescent="0.35">
      <c r="A133" t="s">
        <v>133</v>
      </c>
      <c r="B133">
        <v>70.69</v>
      </c>
      <c r="C133">
        <f t="shared" si="12"/>
        <v>-7.0706359447185647E-4</v>
      </c>
      <c r="D133">
        <f t="shared" si="13"/>
        <v>69.957999999999984</v>
      </c>
      <c r="E133">
        <f t="shared" si="14"/>
        <v>0.99500119016062039</v>
      </c>
      <c r="F133">
        <f t="shared" si="15"/>
        <v>71.948002380321228</v>
      </c>
      <c r="G133">
        <f t="shared" si="16"/>
        <v>67.967997619678741</v>
      </c>
    </row>
    <row r="134" spans="1:7" x14ac:dyDescent="0.35">
      <c r="A134" t="s">
        <v>134</v>
      </c>
      <c r="B134">
        <v>70.739999999999995</v>
      </c>
      <c r="C134">
        <f t="shared" si="12"/>
        <v>-4.0911392323841281E-3</v>
      </c>
      <c r="D134">
        <f t="shared" si="13"/>
        <v>69.817999999999984</v>
      </c>
      <c r="E134">
        <f t="shared" si="14"/>
        <v>1.0799444430154719</v>
      </c>
      <c r="F134">
        <f t="shared" si="15"/>
        <v>71.977888886030925</v>
      </c>
      <c r="G134">
        <f t="shared" si="16"/>
        <v>67.658111113969042</v>
      </c>
    </row>
    <row r="135" spans="1:7" x14ac:dyDescent="0.35">
      <c r="A135" t="s">
        <v>135</v>
      </c>
      <c r="B135">
        <v>71.03</v>
      </c>
      <c r="C135">
        <f t="shared" si="12"/>
        <v>9.6195394493207159E-3</v>
      </c>
      <c r="D135">
        <f t="shared" si="13"/>
        <v>69.656000000000006</v>
      </c>
      <c r="E135">
        <f t="shared" si="14"/>
        <v>1.1733326355659799</v>
      </c>
      <c r="F135">
        <f t="shared" si="15"/>
        <v>72.00266527113196</v>
      </c>
      <c r="G135">
        <f t="shared" si="16"/>
        <v>67.309334728868052</v>
      </c>
    </row>
    <row r="136" spans="1:7" x14ac:dyDescent="0.35">
      <c r="A136" t="s">
        <v>136</v>
      </c>
      <c r="B136">
        <v>70.349999999999994</v>
      </c>
      <c r="C136">
        <f t="shared" si="12"/>
        <v>9.2824657939198189E-3</v>
      </c>
      <c r="D136">
        <f t="shared" si="13"/>
        <v>69.489000000000004</v>
      </c>
      <c r="E136">
        <f t="shared" si="14"/>
        <v>1.2047489365008786</v>
      </c>
      <c r="F136">
        <f t="shared" si="15"/>
        <v>71.898497873001759</v>
      </c>
      <c r="G136">
        <f t="shared" si="16"/>
        <v>67.07950212699825</v>
      </c>
    </row>
    <row r="137" spans="1:7" x14ac:dyDescent="0.35">
      <c r="A137" t="s">
        <v>137</v>
      </c>
      <c r="B137">
        <v>69.7</v>
      </c>
      <c r="C137">
        <f t="shared" si="12"/>
        <v>2.1543993970264464E-3</v>
      </c>
      <c r="D137">
        <f t="shared" si="13"/>
        <v>69.330000000000013</v>
      </c>
      <c r="E137">
        <f t="shared" si="14"/>
        <v>1.2918326435523164</v>
      </c>
      <c r="F137">
        <f t="shared" si="15"/>
        <v>71.913665287104649</v>
      </c>
      <c r="G137">
        <f t="shared" si="16"/>
        <v>66.746334712895376</v>
      </c>
    </row>
    <row r="138" spans="1:7" x14ac:dyDescent="0.35">
      <c r="A138" t="s">
        <v>138</v>
      </c>
      <c r="B138">
        <v>69.55</v>
      </c>
      <c r="C138">
        <f t="shared" si="12"/>
        <v>-6.5921706196543804E-3</v>
      </c>
      <c r="D138">
        <f t="shared" si="13"/>
        <v>69.200500000000005</v>
      </c>
      <c r="E138">
        <f t="shared" si="14"/>
        <v>1.3796241860509837</v>
      </c>
      <c r="F138">
        <f t="shared" si="15"/>
        <v>71.95974837210197</v>
      </c>
      <c r="G138">
        <f t="shared" si="16"/>
        <v>66.441251627898041</v>
      </c>
    </row>
    <row r="139" spans="1:7" x14ac:dyDescent="0.35">
      <c r="A139" t="s">
        <v>139</v>
      </c>
      <c r="B139">
        <v>70.010000000000005</v>
      </c>
      <c r="C139">
        <f t="shared" si="12"/>
        <v>-4.1337098275129307E-3</v>
      </c>
      <c r="D139">
        <f t="shared" si="13"/>
        <v>69.072500000000019</v>
      </c>
      <c r="E139">
        <f t="shared" si="14"/>
        <v>1.4618008900343649</v>
      </c>
      <c r="F139">
        <f t="shared" si="15"/>
        <v>71.996101780068756</v>
      </c>
      <c r="G139">
        <f t="shared" si="16"/>
        <v>66.148898219931283</v>
      </c>
    </row>
    <row r="140" spans="1:7" x14ac:dyDescent="0.35">
      <c r="A140" t="s">
        <v>140</v>
      </c>
      <c r="B140">
        <v>70.3</v>
      </c>
      <c r="C140">
        <f t="shared" si="12"/>
        <v>9.8635636360440079E-3</v>
      </c>
      <c r="D140">
        <f t="shared" si="13"/>
        <v>68.907000000000011</v>
      </c>
      <c r="E140">
        <f t="shared" si="14"/>
        <v>1.5355852647323609</v>
      </c>
      <c r="F140">
        <f t="shared" si="15"/>
        <v>71.978170529464734</v>
      </c>
      <c r="G140">
        <f t="shared" si="16"/>
        <v>65.835829470535288</v>
      </c>
    </row>
    <row r="141" spans="1:7" x14ac:dyDescent="0.35">
      <c r="A141" t="s">
        <v>141</v>
      </c>
      <c r="B141">
        <v>69.61</v>
      </c>
      <c r="C141">
        <f t="shared" si="12"/>
        <v>-4.3087971941323564E-4</v>
      </c>
      <c r="D141">
        <f t="shared" si="13"/>
        <v>68.751999999999995</v>
      </c>
      <c r="E141">
        <f t="shared" si="14"/>
        <v>1.5440091355061059</v>
      </c>
      <c r="F141">
        <f t="shared" si="15"/>
        <v>71.840018271012212</v>
      </c>
      <c r="G141">
        <f t="shared" si="16"/>
        <v>65.663981728987778</v>
      </c>
    </row>
    <row r="142" spans="1:7" x14ac:dyDescent="0.35">
      <c r="A142" t="s">
        <v>142</v>
      </c>
      <c r="B142">
        <v>69.64</v>
      </c>
      <c r="C142">
        <f t="shared" si="12"/>
        <v>-1.9340762141327125E-2</v>
      </c>
      <c r="D142">
        <f t="shared" si="13"/>
        <v>68.634</v>
      </c>
      <c r="E142">
        <f t="shared" si="14"/>
        <v>1.5650236251789995</v>
      </c>
      <c r="F142">
        <f t="shared" si="15"/>
        <v>71.764047250358004</v>
      </c>
      <c r="G142">
        <f t="shared" si="16"/>
        <v>65.503952749641996</v>
      </c>
    </row>
    <row r="143" spans="1:7" x14ac:dyDescent="0.35">
      <c r="A143" t="s">
        <v>143</v>
      </c>
      <c r="B143">
        <v>71</v>
      </c>
      <c r="C143">
        <f t="shared" si="12"/>
        <v>-6.1780595269281743E-3</v>
      </c>
      <c r="D143">
        <f t="shared" si="13"/>
        <v>68.501499999999993</v>
      </c>
      <c r="E143">
        <f t="shared" si="14"/>
        <v>1.5873887031023115</v>
      </c>
      <c r="F143">
        <f t="shared" si="15"/>
        <v>71.676277406204619</v>
      </c>
      <c r="G143">
        <f t="shared" si="16"/>
        <v>65.326722593795367</v>
      </c>
    </row>
    <row r="144" spans="1:7" x14ac:dyDescent="0.35">
      <c r="A144" t="s">
        <v>144</v>
      </c>
      <c r="B144">
        <v>71.44</v>
      </c>
      <c r="C144">
        <f t="shared" si="12"/>
        <v>7.4464692523383636E-3</v>
      </c>
      <c r="D144">
        <f t="shared" si="13"/>
        <v>68.280999999999992</v>
      </c>
      <c r="E144">
        <f t="shared" si="14"/>
        <v>1.5272124589384535</v>
      </c>
      <c r="F144">
        <f t="shared" si="15"/>
        <v>71.335424917876892</v>
      </c>
      <c r="G144">
        <f t="shared" si="16"/>
        <v>65.226575082123091</v>
      </c>
    </row>
    <row r="145" spans="1:7" x14ac:dyDescent="0.35">
      <c r="A145" t="s">
        <v>145</v>
      </c>
      <c r="B145">
        <v>70.91</v>
      </c>
      <c r="C145">
        <f t="shared" si="12"/>
        <v>5.7987574976823457E-3</v>
      </c>
      <c r="D145">
        <f t="shared" si="13"/>
        <v>68.040999999999997</v>
      </c>
      <c r="E145">
        <f t="shared" si="14"/>
        <v>1.3741366667647597</v>
      </c>
      <c r="F145">
        <f t="shared" si="15"/>
        <v>70.789273333529522</v>
      </c>
      <c r="G145">
        <f t="shared" si="16"/>
        <v>65.292726666470472</v>
      </c>
    </row>
    <row r="146" spans="1:7" x14ac:dyDescent="0.35">
      <c r="A146" t="s">
        <v>146</v>
      </c>
      <c r="B146">
        <v>70.5</v>
      </c>
      <c r="C146">
        <f t="shared" si="12"/>
        <v>4.1219587890657002E-3</v>
      </c>
      <c r="D146">
        <f t="shared" si="13"/>
        <v>67.887500000000003</v>
      </c>
      <c r="E146">
        <f t="shared" si="14"/>
        <v>1.1968110038545619</v>
      </c>
      <c r="F146">
        <f t="shared" si="15"/>
        <v>70.281122007709129</v>
      </c>
      <c r="G146">
        <f t="shared" si="16"/>
        <v>65.493877992290876</v>
      </c>
    </row>
    <row r="147" spans="1:7" x14ac:dyDescent="0.35">
      <c r="A147" t="s">
        <v>147</v>
      </c>
      <c r="B147">
        <v>70.209999999999994</v>
      </c>
      <c r="C147">
        <f t="shared" si="12"/>
        <v>3.5671008787561821E-3</v>
      </c>
      <c r="D147">
        <f t="shared" si="13"/>
        <v>67.6875</v>
      </c>
      <c r="E147">
        <f t="shared" si="14"/>
        <v>1.0641224454673268</v>
      </c>
      <c r="F147">
        <f t="shared" si="15"/>
        <v>69.815744890934653</v>
      </c>
      <c r="G147">
        <f t="shared" si="16"/>
        <v>65.559255109065347</v>
      </c>
    </row>
    <row r="148" spans="1:7" x14ac:dyDescent="0.35">
      <c r="A148" t="s">
        <v>148</v>
      </c>
      <c r="B148">
        <v>69.959999999999994</v>
      </c>
      <c r="C148">
        <f t="shared" si="12"/>
        <v>9.1901853029959599E-3</v>
      </c>
      <c r="D148">
        <f t="shared" si="13"/>
        <v>67.441999999999993</v>
      </c>
      <c r="E148">
        <f t="shared" si="14"/>
        <v>1.0168713627696724</v>
      </c>
      <c r="F148">
        <f t="shared" si="15"/>
        <v>69.475742725539334</v>
      </c>
      <c r="G148">
        <f t="shared" si="16"/>
        <v>65.408257274460652</v>
      </c>
    </row>
    <row r="149" spans="1:7" x14ac:dyDescent="0.35">
      <c r="A149" t="s">
        <v>149</v>
      </c>
      <c r="B149">
        <v>69.319999999999993</v>
      </c>
      <c r="C149">
        <f t="shared" si="12"/>
        <v>1.4970121874407234E-2</v>
      </c>
      <c r="D149">
        <f t="shared" si="13"/>
        <v>67.25500000000001</v>
      </c>
      <c r="E149">
        <f t="shared" si="14"/>
        <v>0.86145837178344786</v>
      </c>
      <c r="F149">
        <f t="shared" si="15"/>
        <v>68.977916743566908</v>
      </c>
      <c r="G149">
        <f t="shared" si="16"/>
        <v>65.532083256433111</v>
      </c>
    </row>
    <row r="150" spans="1:7" x14ac:dyDescent="0.35">
      <c r="A150" t="s">
        <v>150</v>
      </c>
      <c r="B150">
        <v>68.290000000000006</v>
      </c>
      <c r="C150">
        <f t="shared" si="12"/>
        <v>6.6113514893502987E-3</v>
      </c>
      <c r="D150">
        <f t="shared" si="13"/>
        <v>67.058500000000009</v>
      </c>
      <c r="E150">
        <f t="shared" si="14"/>
        <v>0.81246392632470044</v>
      </c>
      <c r="F150">
        <f t="shared" si="15"/>
        <v>68.683427852649416</v>
      </c>
      <c r="G150">
        <f t="shared" si="16"/>
        <v>65.433572147350603</v>
      </c>
    </row>
    <row r="151" spans="1:7" x14ac:dyDescent="0.35">
      <c r="A151" t="s">
        <v>151</v>
      </c>
      <c r="B151">
        <v>67.84</v>
      </c>
      <c r="C151">
        <f t="shared" si="12"/>
        <v>-3.3845959762122228E-3</v>
      </c>
      <c r="D151">
        <f t="shared" si="13"/>
        <v>66.924500000000009</v>
      </c>
      <c r="E151">
        <f t="shared" si="14"/>
        <v>0.81963711482582335</v>
      </c>
      <c r="F151">
        <f t="shared" si="15"/>
        <v>68.563774229651656</v>
      </c>
      <c r="G151">
        <f t="shared" si="16"/>
        <v>65.285225770348362</v>
      </c>
    </row>
    <row r="152" spans="1:7" x14ac:dyDescent="0.35">
      <c r="A152" t="s">
        <v>152</v>
      </c>
      <c r="B152">
        <v>68.069999999999993</v>
      </c>
      <c r="C152">
        <f t="shared" si="12"/>
        <v>2.6478391463042772E-3</v>
      </c>
      <c r="D152">
        <f t="shared" si="13"/>
        <v>66.765000000000015</v>
      </c>
      <c r="E152">
        <f t="shared" si="14"/>
        <v>0.93444889471929049</v>
      </c>
      <c r="F152">
        <f t="shared" si="15"/>
        <v>68.633897789438592</v>
      </c>
      <c r="G152">
        <f t="shared" si="16"/>
        <v>64.896102210561438</v>
      </c>
    </row>
    <row r="153" spans="1:7" x14ac:dyDescent="0.35">
      <c r="A153" t="s">
        <v>153</v>
      </c>
      <c r="B153">
        <v>67.89</v>
      </c>
      <c r="C153">
        <f t="shared" si="12"/>
        <v>5.7611504350716623E-3</v>
      </c>
      <c r="D153">
        <f t="shared" si="13"/>
        <v>66.581000000000003</v>
      </c>
      <c r="E153">
        <f t="shared" si="14"/>
        <v>1.0221540722261102</v>
      </c>
      <c r="F153">
        <f t="shared" si="15"/>
        <v>68.625308144452219</v>
      </c>
      <c r="G153">
        <f t="shared" si="16"/>
        <v>64.536691855547787</v>
      </c>
    </row>
    <row r="154" spans="1:7" x14ac:dyDescent="0.35">
      <c r="A154" t="s">
        <v>154</v>
      </c>
      <c r="B154">
        <v>67.5</v>
      </c>
      <c r="C154">
        <f t="shared" si="12"/>
        <v>-2.8108606420320795E-3</v>
      </c>
      <c r="D154">
        <f t="shared" si="13"/>
        <v>66.364500000000007</v>
      </c>
      <c r="E154">
        <f t="shared" si="14"/>
        <v>1.1771217126175986</v>
      </c>
      <c r="F154">
        <f t="shared" si="15"/>
        <v>68.718743425235203</v>
      </c>
      <c r="G154">
        <f t="shared" si="16"/>
        <v>64.01025657476481</v>
      </c>
    </row>
    <row r="155" spans="1:7" x14ac:dyDescent="0.35">
      <c r="A155" t="s">
        <v>155</v>
      </c>
      <c r="B155">
        <v>67.69</v>
      </c>
      <c r="C155">
        <f t="shared" si="12"/>
        <v>7.7117392417430358E-3</v>
      </c>
      <c r="D155">
        <f t="shared" si="13"/>
        <v>66.158500000000018</v>
      </c>
      <c r="E155">
        <f t="shared" si="14"/>
        <v>1.3198057073914917</v>
      </c>
      <c r="F155">
        <f t="shared" si="15"/>
        <v>68.798111414782994</v>
      </c>
      <c r="G155">
        <f t="shared" si="16"/>
        <v>63.518888585217034</v>
      </c>
    </row>
    <row r="156" spans="1:7" x14ac:dyDescent="0.35">
      <c r="A156" t="s">
        <v>156</v>
      </c>
      <c r="B156">
        <v>67.17</v>
      </c>
      <c r="C156">
        <f t="shared" si="12"/>
        <v>8.936551086252693E-4</v>
      </c>
      <c r="D156">
        <f t="shared" si="13"/>
        <v>65.96850000000002</v>
      </c>
      <c r="E156">
        <f t="shared" si="14"/>
        <v>1.3606201179106372</v>
      </c>
      <c r="F156">
        <f t="shared" si="15"/>
        <v>68.68974023582129</v>
      </c>
      <c r="G156">
        <f t="shared" si="16"/>
        <v>63.247259764178743</v>
      </c>
    </row>
    <row r="157" spans="1:7" x14ac:dyDescent="0.35">
      <c r="A157" t="s">
        <v>157</v>
      </c>
      <c r="B157">
        <v>67.11</v>
      </c>
      <c r="C157">
        <f t="shared" si="12"/>
        <v>1.7897096499717093E-3</v>
      </c>
      <c r="D157">
        <f t="shared" si="13"/>
        <v>65.799500000000009</v>
      </c>
      <c r="E157">
        <f t="shared" si="14"/>
        <v>1.4124539116840511</v>
      </c>
      <c r="F157">
        <f t="shared" si="15"/>
        <v>68.624407823368117</v>
      </c>
      <c r="G157">
        <f t="shared" si="16"/>
        <v>62.974592176631909</v>
      </c>
    </row>
    <row r="158" spans="1:7" x14ac:dyDescent="0.35">
      <c r="A158" t="s">
        <v>158</v>
      </c>
      <c r="B158">
        <v>66.989999999999995</v>
      </c>
      <c r="C158">
        <f t="shared" si="12"/>
        <v>4.3384015985981411E-3</v>
      </c>
      <c r="D158">
        <f t="shared" si="13"/>
        <v>65.634500000000003</v>
      </c>
      <c r="E158">
        <f t="shared" si="14"/>
        <v>1.4437104061556472</v>
      </c>
      <c r="F158">
        <f t="shared" si="15"/>
        <v>68.521920812311294</v>
      </c>
      <c r="G158">
        <f t="shared" si="16"/>
        <v>62.747079187688712</v>
      </c>
    </row>
    <row r="159" spans="1:7" x14ac:dyDescent="0.35">
      <c r="A159" t="s">
        <v>159</v>
      </c>
      <c r="B159">
        <v>66.7</v>
      </c>
      <c r="C159">
        <f t="shared" si="12"/>
        <v>-7.4682946075257991E-3</v>
      </c>
      <c r="D159">
        <f t="shared" si="13"/>
        <v>65.429500000000004</v>
      </c>
      <c r="E159">
        <f t="shared" si="14"/>
        <v>1.529638674224802</v>
      </c>
      <c r="F159">
        <f t="shared" si="15"/>
        <v>68.488777348449602</v>
      </c>
      <c r="G159">
        <f t="shared" si="16"/>
        <v>62.370222651550399</v>
      </c>
    </row>
    <row r="160" spans="1:7" x14ac:dyDescent="0.35">
      <c r="A160" t="s">
        <v>160</v>
      </c>
      <c r="B160">
        <v>67.2</v>
      </c>
      <c r="C160">
        <f t="shared" si="12"/>
        <v>-7.4377095284454138E-4</v>
      </c>
      <c r="D160">
        <f t="shared" si="13"/>
        <v>65.196999999999989</v>
      </c>
      <c r="E160">
        <f t="shared" si="14"/>
        <v>1.6730341173732044</v>
      </c>
      <c r="F160">
        <f t="shared" si="15"/>
        <v>68.5430682347464</v>
      </c>
      <c r="G160">
        <f t="shared" si="16"/>
        <v>61.850931765253577</v>
      </c>
    </row>
    <row r="161" spans="1:7" x14ac:dyDescent="0.35">
      <c r="A161" t="s">
        <v>161</v>
      </c>
      <c r="B161">
        <v>67.25</v>
      </c>
      <c r="C161">
        <f t="shared" si="12"/>
        <v>3.8736639617724237E-3</v>
      </c>
      <c r="D161">
        <f t="shared" si="13"/>
        <v>64.953499999999991</v>
      </c>
      <c r="E161">
        <f t="shared" si="14"/>
        <v>1.7199090398225014</v>
      </c>
      <c r="F161">
        <f t="shared" si="15"/>
        <v>68.393318079644999</v>
      </c>
      <c r="G161">
        <f t="shared" si="16"/>
        <v>61.51368192035499</v>
      </c>
    </row>
    <row r="162" spans="1:7" x14ac:dyDescent="0.35">
      <c r="A162" t="s">
        <v>162</v>
      </c>
      <c r="B162">
        <v>66.989999999999995</v>
      </c>
      <c r="C162">
        <f t="shared" ref="C162:C187" si="17">LN(B162/B163)</f>
        <v>5.988938397645055E-3</v>
      </c>
      <c r="D162">
        <f t="shared" si="13"/>
        <v>64.677999999999983</v>
      </c>
      <c r="E162">
        <f t="shared" si="14"/>
        <v>1.7731672524787836</v>
      </c>
      <c r="F162">
        <f t="shared" si="15"/>
        <v>68.224334504957554</v>
      </c>
      <c r="G162">
        <f t="shared" si="16"/>
        <v>61.131665495042412</v>
      </c>
    </row>
    <row r="163" spans="1:7" x14ac:dyDescent="0.35">
      <c r="A163" t="s">
        <v>163</v>
      </c>
      <c r="B163">
        <v>66.59</v>
      </c>
      <c r="C163">
        <f t="shared" si="17"/>
        <v>-7.50581736056186E-4</v>
      </c>
      <c r="D163">
        <f t="shared" si="13"/>
        <v>64.402500000000003</v>
      </c>
      <c r="E163">
        <f t="shared" si="14"/>
        <v>1.8224069538012524</v>
      </c>
      <c r="F163">
        <f t="shared" si="15"/>
        <v>68.047313907602515</v>
      </c>
      <c r="G163">
        <f t="shared" si="16"/>
        <v>60.757686092397499</v>
      </c>
    </row>
    <row r="164" spans="1:7" x14ac:dyDescent="0.35">
      <c r="A164" t="s">
        <v>164</v>
      </c>
      <c r="B164">
        <v>66.64</v>
      </c>
      <c r="C164">
        <f t="shared" si="17"/>
        <v>-1.7846993625060419E-2</v>
      </c>
      <c r="D164">
        <f t="shared" si="13"/>
        <v>64.139999999999986</v>
      </c>
      <c r="E164">
        <f t="shared" si="14"/>
        <v>1.8682640408453488</v>
      </c>
      <c r="F164">
        <f t="shared" si="15"/>
        <v>67.87652808169068</v>
      </c>
      <c r="G164">
        <f t="shared" si="16"/>
        <v>60.403471918309286</v>
      </c>
    </row>
    <row r="165" spans="1:7" x14ac:dyDescent="0.35">
      <c r="A165" t="s">
        <v>165</v>
      </c>
      <c r="B165">
        <v>67.84</v>
      </c>
      <c r="C165">
        <f t="shared" si="17"/>
        <v>1.9950043821839139E-2</v>
      </c>
      <c r="D165">
        <f t="shared" si="13"/>
        <v>63.888499999999986</v>
      </c>
      <c r="E165">
        <f t="shared" si="14"/>
        <v>1.8525040663354764</v>
      </c>
      <c r="F165">
        <f t="shared" si="15"/>
        <v>67.593508132670934</v>
      </c>
      <c r="G165">
        <f t="shared" si="16"/>
        <v>60.183491867329032</v>
      </c>
    </row>
    <row r="166" spans="1:7" x14ac:dyDescent="0.35">
      <c r="A166" t="s">
        <v>166</v>
      </c>
      <c r="B166">
        <v>66.5</v>
      </c>
      <c r="C166">
        <f t="shared" si="17"/>
        <v>1.8209911379423169E-2</v>
      </c>
      <c r="D166">
        <f t="shared" si="13"/>
        <v>63.616</v>
      </c>
      <c r="E166">
        <f t="shared" si="14"/>
        <v>1.6278768865902411</v>
      </c>
      <c r="F166">
        <f t="shared" si="15"/>
        <v>66.871753773180487</v>
      </c>
      <c r="G166">
        <f t="shared" si="16"/>
        <v>60.36024622681952</v>
      </c>
    </row>
    <row r="167" spans="1:7" x14ac:dyDescent="0.35">
      <c r="A167" t="s">
        <v>167</v>
      </c>
      <c r="B167">
        <v>65.3</v>
      </c>
      <c r="C167">
        <f t="shared" si="17"/>
        <v>-1.3990495836714868E-2</v>
      </c>
      <c r="D167">
        <f t="shared" si="13"/>
        <v>63.389499999999998</v>
      </c>
      <c r="E167">
        <f t="shared" si="14"/>
        <v>1.5168439360447699</v>
      </c>
      <c r="F167">
        <f t="shared" si="15"/>
        <v>66.423187872089542</v>
      </c>
      <c r="G167">
        <f t="shared" si="16"/>
        <v>60.355812127910461</v>
      </c>
    </row>
    <row r="168" spans="1:7" x14ac:dyDescent="0.35">
      <c r="A168" t="s">
        <v>168</v>
      </c>
      <c r="B168">
        <v>66.22</v>
      </c>
      <c r="C168">
        <f t="shared" si="17"/>
        <v>1.2613190545915623E-2</v>
      </c>
      <c r="D168">
        <f t="shared" si="13"/>
        <v>63.214000000000013</v>
      </c>
      <c r="E168">
        <f t="shared" si="14"/>
        <v>1.4869233512967575</v>
      </c>
      <c r="F168">
        <f t="shared" si="15"/>
        <v>66.187846702593532</v>
      </c>
      <c r="G168">
        <f t="shared" si="16"/>
        <v>60.240153297406501</v>
      </c>
    </row>
    <row r="169" spans="1:7" x14ac:dyDescent="0.35">
      <c r="A169" t="s">
        <v>169</v>
      </c>
      <c r="B169">
        <v>65.39</v>
      </c>
      <c r="C169">
        <f t="shared" si="17"/>
        <v>-3.3587817836015694E-3</v>
      </c>
      <c r="D169">
        <f t="shared" si="13"/>
        <v>62.999000000000009</v>
      </c>
      <c r="E169">
        <f t="shared" si="14"/>
        <v>1.3322276555888604</v>
      </c>
      <c r="F169">
        <f t="shared" si="15"/>
        <v>65.663455311177728</v>
      </c>
      <c r="G169">
        <f t="shared" si="16"/>
        <v>60.334544688822291</v>
      </c>
    </row>
    <row r="170" spans="1:7" x14ac:dyDescent="0.35">
      <c r="A170" t="s">
        <v>170</v>
      </c>
      <c r="B170">
        <v>65.61</v>
      </c>
      <c r="C170">
        <f t="shared" si="17"/>
        <v>1.4740018138919633E-2</v>
      </c>
      <c r="D170">
        <f t="shared" si="13"/>
        <v>62.873157894736835</v>
      </c>
      <c r="E170">
        <f t="shared" si="14"/>
        <v>1.2406094050531917</v>
      </c>
      <c r="F170">
        <f t="shared" si="15"/>
        <v>65.354376704843219</v>
      </c>
      <c r="G170">
        <f t="shared" si="16"/>
        <v>60.391939084630451</v>
      </c>
    </row>
    <row r="171" spans="1:7" x14ac:dyDescent="0.35">
      <c r="A171" t="s">
        <v>171</v>
      </c>
      <c r="B171">
        <v>64.650000000000006</v>
      </c>
      <c r="C171">
        <f t="shared" si="17"/>
        <v>4.0297636677744221E-3</v>
      </c>
      <c r="D171">
        <f t="shared" si="13"/>
        <v>62.721111111111128</v>
      </c>
      <c r="E171">
        <f t="shared" si="14"/>
        <v>1.0791493866433937</v>
      </c>
      <c r="F171">
        <f t="shared" si="15"/>
        <v>64.879409884397916</v>
      </c>
      <c r="G171">
        <f t="shared" si="16"/>
        <v>60.56281233782434</v>
      </c>
    </row>
    <row r="172" spans="1:7" x14ac:dyDescent="0.35">
      <c r="A172" t="s">
        <v>172</v>
      </c>
      <c r="B172">
        <v>64.39</v>
      </c>
      <c r="C172">
        <f t="shared" si="17"/>
        <v>1.2973999881576917E-2</v>
      </c>
      <c r="D172">
        <f t="shared" si="13"/>
        <v>62.607647058823538</v>
      </c>
      <c r="E172">
        <f t="shared" si="14"/>
        <v>0.99555593396205511</v>
      </c>
      <c r="F172">
        <f t="shared" si="15"/>
        <v>64.598758926747649</v>
      </c>
      <c r="G172">
        <f t="shared" si="16"/>
        <v>60.616535190899427</v>
      </c>
    </row>
    <row r="173" spans="1:7" x14ac:dyDescent="0.35">
      <c r="A173" t="s">
        <v>173</v>
      </c>
      <c r="B173">
        <v>63.56</v>
      </c>
      <c r="C173">
        <f t="shared" si="17"/>
        <v>2.8359874057405101E-3</v>
      </c>
      <c r="D173">
        <f t="shared" si="13"/>
        <v>62.496249999999996</v>
      </c>
      <c r="E173">
        <f t="shared" si="14"/>
        <v>0.91224174427615456</v>
      </c>
      <c r="F173">
        <f t="shared" si="15"/>
        <v>64.320733488552307</v>
      </c>
      <c r="G173">
        <f t="shared" si="16"/>
        <v>60.671766511447686</v>
      </c>
    </row>
    <row r="174" spans="1:7" x14ac:dyDescent="0.35">
      <c r="A174" t="s">
        <v>174</v>
      </c>
      <c r="B174">
        <v>63.38</v>
      </c>
      <c r="C174">
        <f t="shared" si="17"/>
        <v>-8.0145003514772144E-3</v>
      </c>
      <c r="D174">
        <f t="shared" si="13"/>
        <v>62.425333333333334</v>
      </c>
      <c r="E174">
        <f t="shared" si="14"/>
        <v>0.8974477037423304</v>
      </c>
      <c r="F174">
        <f t="shared" si="15"/>
        <v>64.220228740818001</v>
      </c>
      <c r="G174">
        <f t="shared" si="16"/>
        <v>60.630437925848675</v>
      </c>
    </row>
    <row r="175" spans="1:7" x14ac:dyDescent="0.35">
      <c r="A175" t="s">
        <v>175</v>
      </c>
      <c r="B175">
        <v>63.89</v>
      </c>
      <c r="C175">
        <f t="shared" si="17"/>
        <v>1.5664163603879037E-3</v>
      </c>
      <c r="D175">
        <f t="shared" si="13"/>
        <v>62.357142857142854</v>
      </c>
      <c r="E175">
        <f t="shared" si="14"/>
        <v>0.89008580892672795</v>
      </c>
      <c r="F175">
        <f t="shared" si="15"/>
        <v>64.137314474996316</v>
      </c>
      <c r="G175">
        <f t="shared" si="16"/>
        <v>60.576971239289399</v>
      </c>
    </row>
    <row r="176" spans="1:7" x14ac:dyDescent="0.35">
      <c r="A176" t="s">
        <v>176</v>
      </c>
      <c r="B176">
        <v>63.79</v>
      </c>
      <c r="C176">
        <f t="shared" si="17"/>
        <v>-3.1347962639157411E-4</v>
      </c>
      <c r="D176">
        <f t="shared" si="13"/>
        <v>62.239230769230772</v>
      </c>
      <c r="E176">
        <f t="shared" si="14"/>
        <v>0.80461648771802619</v>
      </c>
      <c r="F176">
        <f t="shared" si="15"/>
        <v>63.848463744666823</v>
      </c>
      <c r="G176">
        <f t="shared" si="16"/>
        <v>60.629997793794722</v>
      </c>
    </row>
    <row r="177" spans="1:7" x14ac:dyDescent="0.35">
      <c r="A177" t="s">
        <v>177</v>
      </c>
      <c r="B177">
        <v>63.81</v>
      </c>
      <c r="C177">
        <f t="shared" si="17"/>
        <v>1.4522749324843494E-2</v>
      </c>
      <c r="D177">
        <f t="shared" si="13"/>
        <v>62.109999999999992</v>
      </c>
      <c r="E177">
        <f t="shared" si="14"/>
        <v>0.68514099411594287</v>
      </c>
      <c r="F177">
        <f t="shared" si="15"/>
        <v>63.48028198823188</v>
      </c>
      <c r="G177">
        <f t="shared" si="16"/>
        <v>60.739718011768105</v>
      </c>
    </row>
    <row r="178" spans="1:7" x14ac:dyDescent="0.35">
      <c r="A178" t="s">
        <v>178</v>
      </c>
      <c r="B178">
        <v>62.89</v>
      </c>
      <c r="C178">
        <f t="shared" si="17"/>
        <v>1.3446656904795786E-2</v>
      </c>
      <c r="D178">
        <f t="shared" si="13"/>
        <v>61.955454545454543</v>
      </c>
      <c r="E178">
        <f t="shared" si="14"/>
        <v>0.44842755571805859</v>
      </c>
      <c r="F178">
        <f t="shared" si="15"/>
        <v>62.852309656890661</v>
      </c>
      <c r="G178">
        <f t="shared" si="16"/>
        <v>61.058599434018426</v>
      </c>
    </row>
    <row r="179" spans="1:7" x14ac:dyDescent="0.35">
      <c r="A179" t="s">
        <v>179</v>
      </c>
      <c r="B179">
        <v>62.05</v>
      </c>
      <c r="C179">
        <f t="shared" si="17"/>
        <v>-4.5023391701430526E-3</v>
      </c>
      <c r="D179">
        <f t="shared" si="13"/>
        <v>61.861999999999988</v>
      </c>
      <c r="E179">
        <f t="shared" si="14"/>
        <v>0.34159104854261635</v>
      </c>
      <c r="F179">
        <f t="shared" si="15"/>
        <v>62.545182097085217</v>
      </c>
      <c r="G179">
        <f t="shared" si="16"/>
        <v>61.178817902914759</v>
      </c>
    </row>
    <row r="180" spans="1:7" x14ac:dyDescent="0.35">
      <c r="A180" t="s">
        <v>180</v>
      </c>
      <c r="B180">
        <v>62.33</v>
      </c>
      <c r="C180">
        <f t="shared" si="17"/>
        <v>9.5108317467459368E-3</v>
      </c>
      <c r="D180">
        <f t="shared" si="13"/>
        <v>61.841111111111118</v>
      </c>
      <c r="E180">
        <f t="shared" si="14"/>
        <v>0.35547308071232459</v>
      </c>
      <c r="F180">
        <f t="shared" si="15"/>
        <v>62.55205727253577</v>
      </c>
      <c r="G180">
        <f t="shared" si="16"/>
        <v>61.130164949686467</v>
      </c>
    </row>
    <row r="181" spans="1:7" x14ac:dyDescent="0.35">
      <c r="A181" t="s">
        <v>181</v>
      </c>
      <c r="B181">
        <v>61.74</v>
      </c>
      <c r="C181">
        <f t="shared" si="17"/>
        <v>4.2201004036181381E-3</v>
      </c>
      <c r="D181">
        <f t="shared" si="13"/>
        <v>61.78</v>
      </c>
      <c r="E181">
        <f t="shared" si="14"/>
        <v>0.32557641192199405</v>
      </c>
      <c r="F181">
        <f t="shared" si="15"/>
        <v>62.431152823843988</v>
      </c>
      <c r="G181">
        <f t="shared" si="16"/>
        <v>61.128847176156015</v>
      </c>
    </row>
    <row r="182" spans="1:7" x14ac:dyDescent="0.35">
      <c r="A182" t="s">
        <v>182</v>
      </c>
      <c r="B182">
        <v>61.48</v>
      </c>
      <c r="C182">
        <f t="shared" si="17"/>
        <v>2.2797599842894947E-3</v>
      </c>
      <c r="D182">
        <f t="shared" si="13"/>
        <v>61.785714285714285</v>
      </c>
      <c r="E182">
        <f t="shared" si="14"/>
        <v>0.35122913427263508</v>
      </c>
      <c r="F182">
        <f t="shared" si="15"/>
        <v>62.488172554259556</v>
      </c>
      <c r="G182">
        <f t="shared" si="16"/>
        <v>61.083256017169013</v>
      </c>
    </row>
    <row r="183" spans="1:7" x14ac:dyDescent="0.35">
      <c r="A183" t="s">
        <v>183</v>
      </c>
      <c r="B183">
        <v>61.34</v>
      </c>
      <c r="C183">
        <f t="shared" si="17"/>
        <v>-4.3920363403738231E-3</v>
      </c>
      <c r="D183">
        <f t="shared" si="13"/>
        <v>61.836666666666673</v>
      </c>
      <c r="E183">
        <f t="shared" si="14"/>
        <v>0.35528392401946107</v>
      </c>
      <c r="F183">
        <f t="shared" si="15"/>
        <v>62.547234514705593</v>
      </c>
      <c r="G183">
        <f t="shared" si="16"/>
        <v>61.126098818627753</v>
      </c>
    </row>
    <row r="184" spans="1:7" x14ac:dyDescent="0.35">
      <c r="A184" t="s">
        <v>184</v>
      </c>
      <c r="B184">
        <v>61.61</v>
      </c>
      <c r="C184">
        <f t="shared" si="17"/>
        <v>-1.2580811096215647E-2</v>
      </c>
      <c r="D184">
        <f t="shared" si="13"/>
        <v>61.936</v>
      </c>
      <c r="E184">
        <f t="shared" si="14"/>
        <v>0.28944775003444101</v>
      </c>
      <c r="F184">
        <f t="shared" si="15"/>
        <v>62.514895500068882</v>
      </c>
      <c r="G184">
        <f t="shared" si="16"/>
        <v>61.357104499931118</v>
      </c>
    </row>
    <row r="185" spans="1:7" x14ac:dyDescent="0.35">
      <c r="A185" t="s">
        <v>185</v>
      </c>
      <c r="B185">
        <v>62.39</v>
      </c>
      <c r="C185">
        <f t="shared" si="17"/>
        <v>6.7546091486788912E-3</v>
      </c>
      <c r="D185">
        <f t="shared" si="13"/>
        <v>62.017499999999998</v>
      </c>
      <c r="E185">
        <f t="shared" si="14"/>
        <v>0.25966324345197606</v>
      </c>
      <c r="F185">
        <f t="shared" si="15"/>
        <v>62.536826486903948</v>
      </c>
      <c r="G185">
        <f t="shared" si="16"/>
        <v>61.498173513096049</v>
      </c>
    </row>
    <row r="186" spans="1:7" x14ac:dyDescent="0.35">
      <c r="A186" t="s">
        <v>186</v>
      </c>
      <c r="B186">
        <v>61.97</v>
      </c>
      <c r="C186">
        <f t="shared" si="17"/>
        <v>2.9088579011278893E-3</v>
      </c>
      <c r="D186">
        <f t="shared" si="13"/>
        <v>61.893333333333338</v>
      </c>
      <c r="E186">
        <f t="shared" si="14"/>
        <v>9.2915732431775949E-2</v>
      </c>
      <c r="F186">
        <f t="shared" si="15"/>
        <v>62.079164798196892</v>
      </c>
      <c r="G186">
        <f t="shared" si="16"/>
        <v>61.707501868469784</v>
      </c>
    </row>
    <row r="187" spans="1:7" x14ac:dyDescent="0.35">
      <c r="A187" t="s">
        <v>187</v>
      </c>
      <c r="B187">
        <v>61.79</v>
      </c>
      <c r="C187">
        <f t="shared" si="17"/>
        <v>-2.1016902085835704E-3</v>
      </c>
      <c r="D187">
        <f t="shared" si="13"/>
        <v>61.855000000000004</v>
      </c>
      <c r="E187">
        <f t="shared" si="14"/>
        <v>9.192388155425299E-2</v>
      </c>
      <c r="F187">
        <f t="shared" si="15"/>
        <v>62.038847763108507</v>
      </c>
      <c r="G187">
        <f t="shared" si="16"/>
        <v>61.671152236891501</v>
      </c>
    </row>
    <row r="188" spans="1:7" x14ac:dyDescent="0.35">
      <c r="A188" t="s">
        <v>188</v>
      </c>
      <c r="B188">
        <v>61.92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36A2-900C-46BF-8EE9-CB640DAEE873}">
  <sheetPr codeName="Sheet5"/>
  <dimension ref="A1:G188"/>
  <sheetViews>
    <sheetView workbookViewId="0">
      <selection activeCell="B1" sqref="B1:B1048576"/>
    </sheetView>
  </sheetViews>
  <sheetFormatPr defaultRowHeight="14.5" x14ac:dyDescent="0.35"/>
  <cols>
    <col min="1" max="1" width="14.453125" customWidth="1"/>
    <col min="2" max="2" width="16.6328125" customWidth="1"/>
    <col min="3" max="3" width="21.453125" customWidth="1"/>
    <col min="4" max="4" width="21.90625" customWidth="1"/>
    <col min="5" max="5" width="24.54296875" customWidth="1"/>
    <col min="7" max="7" width="15" customWidth="1"/>
  </cols>
  <sheetData>
    <row r="1" spans="1:7" x14ac:dyDescent="0.35">
      <c r="A1" t="s">
        <v>0</v>
      </c>
      <c r="B1" t="s">
        <v>214</v>
      </c>
      <c r="C1" t="s">
        <v>194</v>
      </c>
      <c r="D1" t="s">
        <v>219</v>
      </c>
      <c r="E1" t="s">
        <v>220</v>
      </c>
      <c r="F1" t="s">
        <v>221</v>
      </c>
      <c r="G1" t="s">
        <v>222</v>
      </c>
    </row>
    <row r="2" spans="1:7" x14ac:dyDescent="0.35">
      <c r="A2" t="s">
        <v>2</v>
      </c>
      <c r="B2">
        <v>70.37</v>
      </c>
      <c r="C2">
        <f t="shared" ref="C2:C33" si="0">LN(B2/B3)</f>
        <v>-5.2441477988769145E-3</v>
      </c>
      <c r="D2">
        <f xml:space="preserve"> MIN(B2:B15)</f>
        <v>68.67</v>
      </c>
      <c r="E2">
        <f xml:space="preserve"> MAX(B2:B15)</f>
        <v>70.739999999999995</v>
      </c>
      <c r="F2">
        <f xml:space="preserve"> ((B2 - D2) / (E2 - D2)) * 100</f>
        <v>82.125603864734714</v>
      </c>
      <c r="G2">
        <f xml:space="preserve"> AVERAGE(F2:F4)</f>
        <v>77.817679164350793</v>
      </c>
    </row>
    <row r="3" spans="1:7" x14ac:dyDescent="0.35">
      <c r="A3" t="s">
        <v>3</v>
      </c>
      <c r="B3">
        <v>70.739999999999995</v>
      </c>
      <c r="C3">
        <f t="shared" si="0"/>
        <v>1.0230268250814823E-2</v>
      </c>
      <c r="D3">
        <f xml:space="preserve"> MIN(B3:B16)</f>
        <v>68.67</v>
      </c>
      <c r="E3">
        <f t="shared" ref="E3:E66" si="1" xml:space="preserve"> MAX(B3:B16)</f>
        <v>70.930000000000007</v>
      </c>
      <c r="F3">
        <f t="shared" ref="F3:F66" si="2" xml:space="preserve"> ((B3 - D3) / (E3 - D3)) * 100</f>
        <v>91.592920353981782</v>
      </c>
      <c r="G3">
        <f t="shared" ref="G3:G66" si="3" xml:space="preserve"> AVERAGE(F3:F5)</f>
        <v>52.507374631268142</v>
      </c>
    </row>
    <row r="4" spans="1:7" x14ac:dyDescent="0.35">
      <c r="A4" t="s">
        <v>4</v>
      </c>
      <c r="B4">
        <v>70.02</v>
      </c>
      <c r="C4">
        <f t="shared" si="0"/>
        <v>1.74318323121311E-2</v>
      </c>
      <c r="D4">
        <f t="shared" ref="D4:D67" si="4" xml:space="preserve"> MIN(B4:B17)</f>
        <v>68.67</v>
      </c>
      <c r="E4">
        <f t="shared" si="1"/>
        <v>70.930000000000007</v>
      </c>
      <c r="F4">
        <f t="shared" si="2"/>
        <v>59.734513274335896</v>
      </c>
      <c r="G4">
        <f t="shared" si="3"/>
        <v>26.106194690265369</v>
      </c>
    </row>
    <row r="5" spans="1:7" x14ac:dyDescent="0.35">
      <c r="A5" t="s">
        <v>5</v>
      </c>
      <c r="B5">
        <v>68.81</v>
      </c>
      <c r="C5">
        <f t="shared" si="0"/>
        <v>-2.0325210249223578E-3</v>
      </c>
      <c r="D5">
        <f t="shared" si="4"/>
        <v>68.67</v>
      </c>
      <c r="E5">
        <f t="shared" si="1"/>
        <v>70.930000000000007</v>
      </c>
      <c r="F5">
        <f t="shared" si="2"/>
        <v>6.1946902654867371</v>
      </c>
      <c r="G5">
        <f t="shared" si="3"/>
        <v>6.1946902654867371</v>
      </c>
    </row>
    <row r="6" spans="1:7" x14ac:dyDescent="0.35">
      <c r="A6" t="s">
        <v>6</v>
      </c>
      <c r="B6">
        <v>68.95</v>
      </c>
      <c r="C6">
        <f t="shared" si="0"/>
        <v>4.0691816067257493E-3</v>
      </c>
      <c r="D6">
        <f t="shared" si="4"/>
        <v>68.67</v>
      </c>
      <c r="E6">
        <f t="shared" si="1"/>
        <v>70.930000000000007</v>
      </c>
      <c r="F6">
        <f t="shared" si="2"/>
        <v>12.389380530973474</v>
      </c>
      <c r="G6">
        <f t="shared" si="3"/>
        <v>11.592480077488581</v>
      </c>
    </row>
    <row r="7" spans="1:7" x14ac:dyDescent="0.35">
      <c r="A7" t="s">
        <v>7</v>
      </c>
      <c r="B7">
        <v>68.67</v>
      </c>
      <c r="C7">
        <f t="shared" si="0"/>
        <v>-1.5031356865722214E-2</v>
      </c>
      <c r="D7">
        <f t="shared" si="4"/>
        <v>68.67</v>
      </c>
      <c r="E7">
        <f t="shared" si="1"/>
        <v>70.930000000000007</v>
      </c>
      <c r="F7">
        <f t="shared" si="2"/>
        <v>0</v>
      </c>
      <c r="G7">
        <f t="shared" si="3"/>
        <v>9.5771144278606233</v>
      </c>
    </row>
    <row r="8" spans="1:7" x14ac:dyDescent="0.35">
      <c r="A8" t="s">
        <v>8</v>
      </c>
      <c r="B8">
        <v>69.709999999999994</v>
      </c>
      <c r="C8">
        <f t="shared" si="0"/>
        <v>6.1875152441275838E-3</v>
      </c>
      <c r="D8">
        <f t="shared" si="4"/>
        <v>69.11</v>
      </c>
      <c r="E8">
        <f t="shared" si="1"/>
        <v>71.790000000000006</v>
      </c>
      <c r="F8">
        <f t="shared" si="2"/>
        <v>22.388059701492267</v>
      </c>
      <c r="G8">
        <f t="shared" si="3"/>
        <v>12.935323383084446</v>
      </c>
    </row>
    <row r="9" spans="1:7" x14ac:dyDescent="0.35">
      <c r="A9" t="s">
        <v>9</v>
      </c>
      <c r="B9">
        <v>69.28</v>
      </c>
      <c r="C9">
        <f t="shared" si="0"/>
        <v>-1.4423772874238385E-3</v>
      </c>
      <c r="D9">
        <f t="shared" si="4"/>
        <v>69.11</v>
      </c>
      <c r="E9">
        <f t="shared" si="1"/>
        <v>71.790000000000006</v>
      </c>
      <c r="F9">
        <f t="shared" si="2"/>
        <v>6.3432835820896001</v>
      </c>
      <c r="G9">
        <f t="shared" si="3"/>
        <v>18.034825870646756</v>
      </c>
    </row>
    <row r="10" spans="1:7" x14ac:dyDescent="0.35">
      <c r="A10" t="s">
        <v>10</v>
      </c>
      <c r="B10">
        <v>69.38</v>
      </c>
      <c r="C10">
        <f t="shared" si="0"/>
        <v>-1.0609418511430276E-2</v>
      </c>
      <c r="D10">
        <f t="shared" si="4"/>
        <v>69.11</v>
      </c>
      <c r="E10">
        <f t="shared" si="1"/>
        <v>71.790000000000006</v>
      </c>
      <c r="F10">
        <f t="shared" si="2"/>
        <v>10.074626865671469</v>
      </c>
      <c r="G10">
        <f t="shared" si="3"/>
        <v>16.542288557213869</v>
      </c>
    </row>
    <row r="11" spans="1:7" x14ac:dyDescent="0.35">
      <c r="A11" t="s">
        <v>11</v>
      </c>
      <c r="B11">
        <v>70.12</v>
      </c>
      <c r="C11">
        <f t="shared" si="0"/>
        <v>1.3785399237944064E-2</v>
      </c>
      <c r="D11">
        <f t="shared" si="4"/>
        <v>69.11</v>
      </c>
      <c r="E11">
        <f t="shared" si="1"/>
        <v>71.790000000000006</v>
      </c>
      <c r="F11">
        <f t="shared" si="2"/>
        <v>37.686567164179202</v>
      </c>
      <c r="G11">
        <f t="shared" si="3"/>
        <v>13.184079601990044</v>
      </c>
    </row>
    <row r="12" spans="1:7" x14ac:dyDescent="0.35">
      <c r="A12" t="s">
        <v>12</v>
      </c>
      <c r="B12">
        <v>69.16</v>
      </c>
      <c r="C12">
        <f t="shared" si="0"/>
        <v>7.2322271178681431E-4</v>
      </c>
      <c r="D12">
        <f t="shared" si="4"/>
        <v>69.11</v>
      </c>
      <c r="E12">
        <f t="shared" si="1"/>
        <v>71.790000000000006</v>
      </c>
      <c r="F12">
        <f t="shared" si="2"/>
        <v>1.865671641790934</v>
      </c>
      <c r="G12">
        <f t="shared" si="3"/>
        <v>0.62189054726364468</v>
      </c>
    </row>
    <row r="13" spans="1:7" x14ac:dyDescent="0.35">
      <c r="A13" t="s">
        <v>13</v>
      </c>
      <c r="B13">
        <v>69.11</v>
      </c>
      <c r="C13">
        <f t="shared" si="0"/>
        <v>-4.6196126618791101E-3</v>
      </c>
      <c r="D13">
        <f t="shared" si="4"/>
        <v>69.11</v>
      </c>
      <c r="E13">
        <f t="shared" si="1"/>
        <v>71.790000000000006</v>
      </c>
      <c r="F13">
        <f t="shared" si="2"/>
        <v>0</v>
      </c>
      <c r="G13">
        <f t="shared" si="3"/>
        <v>14.601769911504315</v>
      </c>
    </row>
    <row r="14" spans="1:7" x14ac:dyDescent="0.35">
      <c r="A14" t="s">
        <v>14</v>
      </c>
      <c r="B14">
        <v>69.430000000000007</v>
      </c>
      <c r="C14">
        <f t="shared" si="0"/>
        <v>-1.5577306764487309E-2</v>
      </c>
      <c r="D14">
        <f t="shared" si="4"/>
        <v>69.430000000000007</v>
      </c>
      <c r="E14">
        <f t="shared" si="1"/>
        <v>71.790000000000006</v>
      </c>
      <c r="F14">
        <f t="shared" si="2"/>
        <v>0</v>
      </c>
      <c r="G14">
        <f t="shared" si="3"/>
        <v>35.250737463126768</v>
      </c>
    </row>
    <row r="15" spans="1:7" x14ac:dyDescent="0.35">
      <c r="A15" t="s">
        <v>15</v>
      </c>
      <c r="B15">
        <v>70.52</v>
      </c>
      <c r="C15">
        <f t="shared" si="0"/>
        <v>-5.797117684326069E-3</v>
      </c>
      <c r="D15">
        <f t="shared" si="4"/>
        <v>69.53</v>
      </c>
      <c r="E15">
        <f t="shared" si="1"/>
        <v>71.790000000000006</v>
      </c>
      <c r="F15">
        <f t="shared" si="2"/>
        <v>43.805309734512946</v>
      </c>
      <c r="G15">
        <f t="shared" si="3"/>
        <v>59.558429770818975</v>
      </c>
    </row>
    <row r="16" spans="1:7" x14ac:dyDescent="0.35">
      <c r="A16" t="s">
        <v>16</v>
      </c>
      <c r="B16">
        <v>70.930000000000007</v>
      </c>
      <c r="C16">
        <f t="shared" si="0"/>
        <v>2.8200789809016433E-4</v>
      </c>
      <c r="D16">
        <f t="shared" si="4"/>
        <v>69.53</v>
      </c>
      <c r="E16">
        <f t="shared" si="1"/>
        <v>71.790000000000006</v>
      </c>
      <c r="F16">
        <f t="shared" si="2"/>
        <v>61.946902654867365</v>
      </c>
      <c r="G16">
        <f t="shared" si="3"/>
        <v>60.258804108827256</v>
      </c>
    </row>
    <row r="17" spans="1:7" x14ac:dyDescent="0.35">
      <c r="A17" t="s">
        <v>17</v>
      </c>
      <c r="B17">
        <v>70.91</v>
      </c>
      <c r="C17">
        <f t="shared" si="0"/>
        <v>1.3773735680675607E-2</v>
      </c>
      <c r="D17">
        <f t="shared" si="4"/>
        <v>68.540000000000006</v>
      </c>
      <c r="E17">
        <f t="shared" si="1"/>
        <v>71.790000000000006</v>
      </c>
      <c r="F17">
        <f t="shared" si="2"/>
        <v>72.923076923076621</v>
      </c>
      <c r="G17">
        <f t="shared" si="3"/>
        <v>51.305742989953217</v>
      </c>
    </row>
    <row r="18" spans="1:7" x14ac:dyDescent="0.35">
      <c r="A18" t="s">
        <v>18</v>
      </c>
      <c r="B18">
        <v>69.94</v>
      </c>
      <c r="C18">
        <f t="shared" si="0"/>
        <v>5.3042916996799763E-3</v>
      </c>
      <c r="D18">
        <f t="shared" si="4"/>
        <v>68.37</v>
      </c>
      <c r="E18">
        <f t="shared" si="1"/>
        <v>71.790000000000006</v>
      </c>
      <c r="F18">
        <f t="shared" si="2"/>
        <v>45.906432748537789</v>
      </c>
      <c r="G18">
        <f t="shared" si="3"/>
        <v>40.685201520249919</v>
      </c>
    </row>
    <row r="19" spans="1:7" x14ac:dyDescent="0.35">
      <c r="A19" t="s">
        <v>19</v>
      </c>
      <c r="B19">
        <v>69.569999999999993</v>
      </c>
      <c r="C19">
        <f t="shared" si="0"/>
        <v>-1.579892608697613E-3</v>
      </c>
      <c r="D19">
        <f t="shared" si="4"/>
        <v>68.37</v>
      </c>
      <c r="E19">
        <f t="shared" si="1"/>
        <v>71.790000000000006</v>
      </c>
      <c r="F19">
        <f t="shared" si="2"/>
        <v>35.087719298245261</v>
      </c>
      <c r="G19">
        <f t="shared" si="3"/>
        <v>58.716390604070654</v>
      </c>
    </row>
    <row r="20" spans="1:7" x14ac:dyDescent="0.35">
      <c r="A20" t="s">
        <v>20</v>
      </c>
      <c r="B20">
        <v>69.680000000000007</v>
      </c>
      <c r="C20">
        <f t="shared" si="0"/>
        <v>-2.9831858044144288E-2</v>
      </c>
      <c r="D20">
        <f t="shared" si="4"/>
        <v>68.209999999999994</v>
      </c>
      <c r="E20">
        <f t="shared" si="1"/>
        <v>71.790000000000006</v>
      </c>
      <c r="F20">
        <f t="shared" si="2"/>
        <v>41.061452513966699</v>
      </c>
      <c r="G20">
        <f t="shared" si="3"/>
        <v>78.999197282110799</v>
      </c>
    </row>
    <row r="21" spans="1:7" x14ac:dyDescent="0.35">
      <c r="A21" t="s">
        <v>21</v>
      </c>
      <c r="B21">
        <v>71.790000000000006</v>
      </c>
      <c r="C21">
        <f t="shared" si="0"/>
        <v>1.5441070405529084E-2</v>
      </c>
      <c r="D21">
        <f t="shared" si="4"/>
        <v>67.099999999999994</v>
      </c>
      <c r="E21">
        <f t="shared" si="1"/>
        <v>71.790000000000006</v>
      </c>
      <c r="F21">
        <f t="shared" si="2"/>
        <v>100</v>
      </c>
      <c r="G21">
        <f t="shared" si="3"/>
        <v>95.926081531841191</v>
      </c>
    </row>
    <row r="22" spans="1:7" x14ac:dyDescent="0.35">
      <c r="A22" t="s">
        <v>22</v>
      </c>
      <c r="B22">
        <v>70.69</v>
      </c>
      <c r="C22">
        <f t="shared" si="0"/>
        <v>4.8213366224647107E-3</v>
      </c>
      <c r="D22">
        <f t="shared" si="4"/>
        <v>64.08</v>
      </c>
      <c r="E22">
        <f t="shared" si="1"/>
        <v>70.97</v>
      </c>
      <c r="F22">
        <f t="shared" si="2"/>
        <v>95.936139332365727</v>
      </c>
      <c r="G22">
        <f t="shared" si="3"/>
        <v>93.076019573972545</v>
      </c>
    </row>
    <row r="23" spans="1:7" x14ac:dyDescent="0.35">
      <c r="A23" t="s">
        <v>23</v>
      </c>
      <c r="B23">
        <v>70.349999999999994</v>
      </c>
      <c r="C23">
        <f t="shared" si="0"/>
        <v>9.9552024150161966E-4</v>
      </c>
      <c r="D23">
        <f t="shared" si="4"/>
        <v>63.37</v>
      </c>
      <c r="E23">
        <f t="shared" si="1"/>
        <v>70.97</v>
      </c>
      <c r="F23">
        <f t="shared" si="2"/>
        <v>91.842105263157833</v>
      </c>
      <c r="G23">
        <f t="shared" si="3"/>
        <v>94.430639796517312</v>
      </c>
    </row>
    <row r="24" spans="1:7" x14ac:dyDescent="0.35">
      <c r="A24" t="s">
        <v>24</v>
      </c>
      <c r="B24">
        <v>70.28</v>
      </c>
      <c r="C24">
        <f t="shared" si="0"/>
        <v>-9.7699892179950714E-3</v>
      </c>
      <c r="D24">
        <f t="shared" si="4"/>
        <v>62.9</v>
      </c>
      <c r="E24">
        <f t="shared" si="1"/>
        <v>70.97</v>
      </c>
      <c r="F24">
        <f t="shared" si="2"/>
        <v>91.449814126394074</v>
      </c>
      <c r="G24">
        <f t="shared" si="3"/>
        <v>94.211036263322356</v>
      </c>
    </row>
    <row r="25" spans="1:7" x14ac:dyDescent="0.35">
      <c r="A25" t="s">
        <v>25</v>
      </c>
      <c r="B25">
        <v>70.97</v>
      </c>
      <c r="C25">
        <f t="shared" si="0"/>
        <v>1.2762510154449128E-2</v>
      </c>
      <c r="D25">
        <f t="shared" si="4"/>
        <v>62.66</v>
      </c>
      <c r="E25">
        <f t="shared" si="1"/>
        <v>70.97</v>
      </c>
      <c r="F25">
        <f t="shared" si="2"/>
        <v>100</v>
      </c>
      <c r="G25">
        <f t="shared" si="3"/>
        <v>97.061098221191003</v>
      </c>
    </row>
    <row r="26" spans="1:7" x14ac:dyDescent="0.35">
      <c r="A26" t="s">
        <v>26</v>
      </c>
      <c r="B26">
        <v>70.069999999999993</v>
      </c>
      <c r="C26">
        <f t="shared" si="0"/>
        <v>-1.0787897383088826E-2</v>
      </c>
      <c r="D26">
        <f t="shared" si="4"/>
        <v>62.21</v>
      </c>
      <c r="E26">
        <f t="shared" si="1"/>
        <v>70.83</v>
      </c>
      <c r="F26">
        <f t="shared" si="2"/>
        <v>91.183294663573022</v>
      </c>
      <c r="G26">
        <f t="shared" si="3"/>
        <v>96.925043799422284</v>
      </c>
    </row>
    <row r="27" spans="1:7" x14ac:dyDescent="0.35">
      <c r="A27" t="s">
        <v>27</v>
      </c>
      <c r="B27">
        <v>70.83</v>
      </c>
      <c r="C27">
        <f t="shared" si="0"/>
        <v>1.8524325654604643E-2</v>
      </c>
      <c r="D27">
        <f t="shared" si="4"/>
        <v>62.21</v>
      </c>
      <c r="E27">
        <f t="shared" si="1"/>
        <v>70.83</v>
      </c>
      <c r="F27">
        <f t="shared" si="2"/>
        <v>100</v>
      </c>
      <c r="G27">
        <f t="shared" si="3"/>
        <v>99.863945578231281</v>
      </c>
    </row>
    <row r="28" spans="1:7" x14ac:dyDescent="0.35">
      <c r="A28" t="s">
        <v>28</v>
      </c>
      <c r="B28">
        <v>69.53</v>
      </c>
      <c r="C28">
        <f t="shared" si="0"/>
        <v>-4.3137537515581495E-4</v>
      </c>
      <c r="D28">
        <f t="shared" si="4"/>
        <v>62.21</v>
      </c>
      <c r="E28">
        <f t="shared" si="1"/>
        <v>69.56</v>
      </c>
      <c r="F28">
        <f t="shared" si="2"/>
        <v>99.591836734693857</v>
      </c>
      <c r="G28">
        <f t="shared" si="3"/>
        <v>97.651556197700373</v>
      </c>
    </row>
    <row r="29" spans="1:7" x14ac:dyDescent="0.35">
      <c r="A29" t="s">
        <v>29</v>
      </c>
      <c r="B29">
        <v>69.56</v>
      </c>
      <c r="C29">
        <f t="shared" si="0"/>
        <v>1.4772173039619483E-2</v>
      </c>
      <c r="D29">
        <f t="shared" si="4"/>
        <v>62.21</v>
      </c>
      <c r="E29">
        <f t="shared" si="1"/>
        <v>69.56</v>
      </c>
      <c r="F29">
        <f t="shared" si="2"/>
        <v>100</v>
      </c>
      <c r="G29">
        <f t="shared" si="3"/>
        <v>94.872706999346903</v>
      </c>
    </row>
    <row r="30" spans="1:7" x14ac:dyDescent="0.35">
      <c r="A30" t="s">
        <v>30</v>
      </c>
      <c r="B30">
        <v>68.540000000000006</v>
      </c>
      <c r="C30">
        <f t="shared" si="0"/>
        <v>2.4833845207602842E-3</v>
      </c>
      <c r="D30">
        <f t="shared" si="4"/>
        <v>62.21</v>
      </c>
      <c r="E30">
        <f t="shared" si="1"/>
        <v>68.989999999999995</v>
      </c>
      <c r="F30">
        <f t="shared" si="2"/>
        <v>93.362831858407247</v>
      </c>
      <c r="G30">
        <f t="shared" si="3"/>
        <v>94.872706999346903</v>
      </c>
    </row>
    <row r="31" spans="1:7" x14ac:dyDescent="0.35">
      <c r="A31" t="s">
        <v>31</v>
      </c>
      <c r="B31">
        <v>68.37</v>
      </c>
      <c r="C31">
        <f t="shared" si="0"/>
        <v>-9.0274346323146529E-3</v>
      </c>
      <c r="D31">
        <f t="shared" si="4"/>
        <v>61.9</v>
      </c>
      <c r="E31">
        <f t="shared" si="1"/>
        <v>68.989999999999995</v>
      </c>
      <c r="F31">
        <f t="shared" si="2"/>
        <v>91.255289139633419</v>
      </c>
      <c r="G31">
        <f t="shared" si="3"/>
        <v>97.085096379877811</v>
      </c>
    </row>
    <row r="32" spans="1:7" x14ac:dyDescent="0.35">
      <c r="A32" t="s">
        <v>32</v>
      </c>
      <c r="B32">
        <v>68.989999999999995</v>
      </c>
      <c r="C32">
        <f t="shared" si="0"/>
        <v>1.1370384891389338E-2</v>
      </c>
      <c r="D32">
        <f t="shared" si="4"/>
        <v>61.9</v>
      </c>
      <c r="E32">
        <f t="shared" si="1"/>
        <v>68.989999999999995</v>
      </c>
      <c r="F32">
        <f t="shared" si="2"/>
        <v>100</v>
      </c>
      <c r="G32">
        <f t="shared" si="3"/>
        <v>100</v>
      </c>
    </row>
    <row r="33" spans="1:7" x14ac:dyDescent="0.35">
      <c r="A33" t="s">
        <v>33</v>
      </c>
      <c r="B33">
        <v>68.209999999999994</v>
      </c>
      <c r="C33">
        <f t="shared" si="0"/>
        <v>1.6407137688991772E-2</v>
      </c>
      <c r="D33">
        <f t="shared" si="4"/>
        <v>61.47</v>
      </c>
      <c r="E33">
        <f t="shared" si="1"/>
        <v>68.209999999999994</v>
      </c>
      <c r="F33">
        <f t="shared" si="2"/>
        <v>100</v>
      </c>
      <c r="G33">
        <f t="shared" si="3"/>
        <v>100</v>
      </c>
    </row>
    <row r="34" spans="1:7" x14ac:dyDescent="0.35">
      <c r="A34" t="s">
        <v>34</v>
      </c>
      <c r="B34">
        <v>67.099999999999994</v>
      </c>
      <c r="C34">
        <f t="shared" ref="C34:C65" si="5">LN(B34/B35)</f>
        <v>4.6051741217532173E-2</v>
      </c>
      <c r="D34">
        <f t="shared" si="4"/>
        <v>61.08</v>
      </c>
      <c r="E34">
        <f t="shared" si="1"/>
        <v>67.099999999999994</v>
      </c>
      <c r="F34">
        <f t="shared" si="2"/>
        <v>100</v>
      </c>
      <c r="G34">
        <f t="shared" si="3"/>
        <v>97.199999999999989</v>
      </c>
    </row>
    <row r="35" spans="1:7" x14ac:dyDescent="0.35">
      <c r="A35" t="s">
        <v>35</v>
      </c>
      <c r="B35">
        <v>64.08</v>
      </c>
      <c r="C35">
        <f t="shared" si="5"/>
        <v>1.1141739424678191E-2</v>
      </c>
      <c r="D35">
        <f t="shared" si="4"/>
        <v>61.08</v>
      </c>
      <c r="E35">
        <f t="shared" si="1"/>
        <v>64.08</v>
      </c>
      <c r="F35">
        <f t="shared" si="2"/>
        <v>100</v>
      </c>
      <c r="G35">
        <f t="shared" si="3"/>
        <v>88.133333333333326</v>
      </c>
    </row>
    <row r="36" spans="1:7" x14ac:dyDescent="0.35">
      <c r="A36" t="s">
        <v>36</v>
      </c>
      <c r="B36">
        <v>63.37</v>
      </c>
      <c r="C36">
        <f t="shared" si="5"/>
        <v>7.4443996290306331E-3</v>
      </c>
      <c r="D36">
        <f t="shared" si="4"/>
        <v>61.08</v>
      </c>
      <c r="E36">
        <f t="shared" si="1"/>
        <v>63.58</v>
      </c>
      <c r="F36">
        <f t="shared" si="2"/>
        <v>91.599999999999966</v>
      </c>
      <c r="G36">
        <f t="shared" si="3"/>
        <v>75.866666666666632</v>
      </c>
    </row>
    <row r="37" spans="1:7" x14ac:dyDescent="0.35">
      <c r="A37" t="s">
        <v>37</v>
      </c>
      <c r="B37">
        <v>62.9</v>
      </c>
      <c r="C37">
        <f t="shared" si="5"/>
        <v>3.822878182349154E-3</v>
      </c>
      <c r="D37">
        <f t="shared" si="4"/>
        <v>61.08</v>
      </c>
      <c r="E37">
        <f t="shared" si="1"/>
        <v>63.58</v>
      </c>
      <c r="F37">
        <f t="shared" si="2"/>
        <v>72.800000000000011</v>
      </c>
      <c r="G37">
        <f t="shared" si="3"/>
        <v>60.400000000000013</v>
      </c>
    </row>
    <row r="38" spans="1:7" x14ac:dyDescent="0.35">
      <c r="A38" t="s">
        <v>38</v>
      </c>
      <c r="B38">
        <v>62.66</v>
      </c>
      <c r="C38">
        <f t="shared" si="5"/>
        <v>7.207526997117155E-3</v>
      </c>
      <c r="D38">
        <f t="shared" si="4"/>
        <v>61.08</v>
      </c>
      <c r="E38">
        <f t="shared" si="1"/>
        <v>63.58</v>
      </c>
      <c r="F38">
        <f t="shared" si="2"/>
        <v>63.199999999999932</v>
      </c>
      <c r="G38">
        <f t="shared" si="3"/>
        <v>60.266666666666708</v>
      </c>
    </row>
    <row r="39" spans="1:7" x14ac:dyDescent="0.35">
      <c r="A39" t="s">
        <v>39</v>
      </c>
      <c r="B39">
        <v>62.21</v>
      </c>
      <c r="C39">
        <f t="shared" si="5"/>
        <v>-1.0871410028483557E-2</v>
      </c>
      <c r="D39">
        <f t="shared" si="4"/>
        <v>61.08</v>
      </c>
      <c r="E39">
        <f t="shared" si="1"/>
        <v>63.58</v>
      </c>
      <c r="F39">
        <f t="shared" si="2"/>
        <v>45.200000000000102</v>
      </c>
      <c r="G39">
        <f t="shared" si="3"/>
        <v>64.933333333333394</v>
      </c>
    </row>
    <row r="40" spans="1:7" x14ac:dyDescent="0.35">
      <c r="A40" t="s">
        <v>40</v>
      </c>
      <c r="B40">
        <v>62.89</v>
      </c>
      <c r="C40">
        <f t="shared" si="5"/>
        <v>-1.9062753985520928E-3</v>
      </c>
      <c r="D40">
        <f t="shared" si="4"/>
        <v>61.08</v>
      </c>
      <c r="E40">
        <f t="shared" si="1"/>
        <v>63.58</v>
      </c>
      <c r="F40">
        <f t="shared" si="2"/>
        <v>72.400000000000091</v>
      </c>
      <c r="G40">
        <f t="shared" si="3"/>
        <v>83.200000000000031</v>
      </c>
    </row>
    <row r="41" spans="1:7" x14ac:dyDescent="0.35">
      <c r="A41" t="s">
        <v>41</v>
      </c>
      <c r="B41">
        <v>63.01</v>
      </c>
      <c r="C41">
        <f t="shared" si="5"/>
        <v>-9.0055115286925367E-3</v>
      </c>
      <c r="D41">
        <f t="shared" si="4"/>
        <v>61.08</v>
      </c>
      <c r="E41">
        <f t="shared" si="1"/>
        <v>63.58</v>
      </c>
      <c r="F41">
        <f t="shared" si="2"/>
        <v>77.199999999999989</v>
      </c>
      <c r="G41">
        <f t="shared" si="3"/>
        <v>80.049880095923257</v>
      </c>
    </row>
    <row r="42" spans="1:7" x14ac:dyDescent="0.35">
      <c r="A42" t="s">
        <v>42</v>
      </c>
      <c r="B42">
        <v>63.58</v>
      </c>
      <c r="C42">
        <f t="shared" si="5"/>
        <v>1.9214564944625454E-2</v>
      </c>
      <c r="D42">
        <f t="shared" si="4"/>
        <v>60.62</v>
      </c>
      <c r="E42">
        <f t="shared" si="1"/>
        <v>63.58</v>
      </c>
      <c r="F42">
        <f t="shared" si="2"/>
        <v>100</v>
      </c>
      <c r="G42">
        <f t="shared" si="3"/>
        <v>71.038584414860125</v>
      </c>
    </row>
    <row r="43" spans="1:7" x14ac:dyDescent="0.35">
      <c r="A43" t="s">
        <v>43</v>
      </c>
      <c r="B43">
        <v>62.37</v>
      </c>
      <c r="C43">
        <f t="shared" si="5"/>
        <v>7.5642108474808616E-3</v>
      </c>
      <c r="D43">
        <f t="shared" si="4"/>
        <v>60.62</v>
      </c>
      <c r="E43">
        <f t="shared" si="1"/>
        <v>63.4</v>
      </c>
      <c r="F43">
        <f t="shared" si="2"/>
        <v>62.949640287769761</v>
      </c>
      <c r="G43">
        <f t="shared" si="3"/>
        <v>71.038584414860125</v>
      </c>
    </row>
    <row r="44" spans="1:7" x14ac:dyDescent="0.35">
      <c r="A44" t="s">
        <v>44</v>
      </c>
      <c r="B44">
        <v>61.9</v>
      </c>
      <c r="C44">
        <f t="shared" si="5"/>
        <v>-2.3943681752629783E-2</v>
      </c>
      <c r="D44">
        <f t="shared" si="4"/>
        <v>60.39</v>
      </c>
      <c r="E44">
        <f t="shared" si="1"/>
        <v>63.4</v>
      </c>
      <c r="F44">
        <f t="shared" si="2"/>
        <v>50.166112956810593</v>
      </c>
      <c r="G44">
        <f t="shared" si="3"/>
        <v>69.632090562323086</v>
      </c>
    </row>
    <row r="45" spans="1:7" x14ac:dyDescent="0.35">
      <c r="A45" t="s">
        <v>45</v>
      </c>
      <c r="B45">
        <v>63.4</v>
      </c>
      <c r="C45">
        <f t="shared" si="5"/>
        <v>3.0914610524262226E-2</v>
      </c>
      <c r="D45">
        <f t="shared" si="4"/>
        <v>60.36</v>
      </c>
      <c r="E45">
        <f t="shared" si="1"/>
        <v>63.4</v>
      </c>
      <c r="F45">
        <f t="shared" si="2"/>
        <v>100</v>
      </c>
      <c r="G45">
        <f t="shared" si="3"/>
        <v>65.608465608465565</v>
      </c>
    </row>
    <row r="46" spans="1:7" x14ac:dyDescent="0.35">
      <c r="A46" t="s">
        <v>46</v>
      </c>
      <c r="B46">
        <v>61.47</v>
      </c>
      <c r="C46">
        <f t="shared" si="5"/>
        <v>6.3647705684864815E-3</v>
      </c>
      <c r="D46">
        <f t="shared" si="4"/>
        <v>60.36</v>
      </c>
      <c r="E46">
        <f t="shared" si="1"/>
        <v>62.25</v>
      </c>
      <c r="F46">
        <f t="shared" si="2"/>
        <v>58.730158730158678</v>
      </c>
      <c r="G46">
        <f t="shared" si="3"/>
        <v>49.382716049382644</v>
      </c>
    </row>
    <row r="47" spans="1:7" x14ac:dyDescent="0.35">
      <c r="A47" t="s">
        <v>47</v>
      </c>
      <c r="B47">
        <v>61.08</v>
      </c>
      <c r="C47">
        <f t="shared" si="5"/>
        <v>-4.0846392874607082E-3</v>
      </c>
      <c r="D47">
        <f t="shared" si="4"/>
        <v>60.36</v>
      </c>
      <c r="E47">
        <f t="shared" si="1"/>
        <v>62.25</v>
      </c>
      <c r="F47">
        <f t="shared" si="2"/>
        <v>38.095238095238024</v>
      </c>
      <c r="G47">
        <f t="shared" si="3"/>
        <v>58.024691358024654</v>
      </c>
    </row>
    <row r="48" spans="1:7" x14ac:dyDescent="0.35">
      <c r="A48" t="s">
        <v>48</v>
      </c>
      <c r="B48">
        <v>61.33</v>
      </c>
      <c r="C48">
        <f t="shared" si="5"/>
        <v>-1.0219895910775529E-2</v>
      </c>
      <c r="D48">
        <f t="shared" si="4"/>
        <v>60.36</v>
      </c>
      <c r="E48">
        <f t="shared" si="1"/>
        <v>62.25</v>
      </c>
      <c r="F48">
        <f t="shared" si="2"/>
        <v>51.322751322751245</v>
      </c>
      <c r="G48">
        <f t="shared" si="3"/>
        <v>78.659611992945315</v>
      </c>
    </row>
    <row r="49" spans="1:7" x14ac:dyDescent="0.35">
      <c r="A49" t="s">
        <v>49</v>
      </c>
      <c r="B49">
        <v>61.96</v>
      </c>
      <c r="C49">
        <f t="shared" si="5"/>
        <v>-4.6695197961491323E-3</v>
      </c>
      <c r="D49">
        <f t="shared" si="4"/>
        <v>60.36</v>
      </c>
      <c r="E49">
        <f t="shared" si="1"/>
        <v>62.25</v>
      </c>
      <c r="F49">
        <f t="shared" si="2"/>
        <v>84.656084656084701</v>
      </c>
      <c r="G49">
        <f t="shared" si="3"/>
        <v>88.790123456790141</v>
      </c>
    </row>
    <row r="50" spans="1:7" x14ac:dyDescent="0.35">
      <c r="A50" t="s">
        <v>50</v>
      </c>
      <c r="B50">
        <v>62.25</v>
      </c>
      <c r="C50">
        <f t="shared" si="5"/>
        <v>7.4169962719287282E-3</v>
      </c>
      <c r="D50">
        <f t="shared" si="4"/>
        <v>60.36</v>
      </c>
      <c r="E50">
        <f t="shared" si="1"/>
        <v>62.25</v>
      </c>
      <c r="F50">
        <f t="shared" si="2"/>
        <v>100</v>
      </c>
      <c r="G50">
        <f t="shared" si="3"/>
        <v>76.413012729844397</v>
      </c>
    </row>
    <row r="51" spans="1:7" x14ac:dyDescent="0.35">
      <c r="A51" t="s">
        <v>51</v>
      </c>
      <c r="B51">
        <v>61.79</v>
      </c>
      <c r="C51">
        <f t="shared" si="5"/>
        <v>7.6354850692747379E-3</v>
      </c>
      <c r="D51">
        <f t="shared" si="4"/>
        <v>60.36</v>
      </c>
      <c r="E51">
        <f t="shared" si="1"/>
        <v>62.11</v>
      </c>
      <c r="F51">
        <f t="shared" si="2"/>
        <v>81.714285714285694</v>
      </c>
      <c r="G51">
        <f t="shared" si="3"/>
        <v>63.376709099481388</v>
      </c>
    </row>
    <row r="52" spans="1:7" x14ac:dyDescent="0.35">
      <c r="A52" t="s">
        <v>52</v>
      </c>
      <c r="B52">
        <v>61.32</v>
      </c>
      <c r="C52">
        <f t="shared" si="5"/>
        <v>-4.3934656953385377E-3</v>
      </c>
      <c r="D52">
        <f t="shared" si="4"/>
        <v>60.36</v>
      </c>
      <c r="E52">
        <f t="shared" si="1"/>
        <v>62.38</v>
      </c>
      <c r="F52">
        <f t="shared" si="2"/>
        <v>47.524752475247496</v>
      </c>
      <c r="G52">
        <f t="shared" si="3"/>
        <v>50.000000000000057</v>
      </c>
    </row>
    <row r="53" spans="1:7" x14ac:dyDescent="0.35">
      <c r="A53" t="s">
        <v>53</v>
      </c>
      <c r="B53">
        <v>61.59</v>
      </c>
      <c r="C53">
        <f t="shared" si="5"/>
        <v>6.3523301806714741E-3</v>
      </c>
      <c r="D53">
        <f t="shared" si="4"/>
        <v>60.36</v>
      </c>
      <c r="E53">
        <f t="shared" si="1"/>
        <v>62.38</v>
      </c>
      <c r="F53">
        <f t="shared" si="2"/>
        <v>60.89108910891099</v>
      </c>
      <c r="G53">
        <f t="shared" si="3"/>
        <v>38.448844884488473</v>
      </c>
    </row>
    <row r="54" spans="1:7" x14ac:dyDescent="0.35">
      <c r="A54" t="s">
        <v>54</v>
      </c>
      <c r="B54">
        <v>61.2</v>
      </c>
      <c r="C54">
        <f t="shared" si="5"/>
        <v>9.5223178886234376E-3</v>
      </c>
      <c r="D54">
        <f t="shared" si="4"/>
        <v>60.36</v>
      </c>
      <c r="E54">
        <f t="shared" si="1"/>
        <v>62.38</v>
      </c>
      <c r="F54">
        <f t="shared" si="2"/>
        <v>41.584158415841685</v>
      </c>
      <c r="G54">
        <f t="shared" si="3"/>
        <v>32.930140304670822</v>
      </c>
    </row>
    <row r="55" spans="1:7" x14ac:dyDescent="0.35">
      <c r="A55" t="s">
        <v>55</v>
      </c>
      <c r="B55">
        <v>60.62</v>
      </c>
      <c r="C55">
        <f t="shared" si="5"/>
        <v>-1.0502229774972135E-2</v>
      </c>
      <c r="D55">
        <f t="shared" si="4"/>
        <v>60.36</v>
      </c>
      <c r="E55">
        <f t="shared" si="1"/>
        <v>62.38</v>
      </c>
      <c r="F55">
        <f t="shared" si="2"/>
        <v>12.871287128712753</v>
      </c>
      <c r="G55">
        <f t="shared" si="3"/>
        <v>19.456351065281751</v>
      </c>
    </row>
    <row r="56" spans="1:7" x14ac:dyDescent="0.35">
      <c r="A56" t="s">
        <v>56</v>
      </c>
      <c r="B56">
        <v>61.26</v>
      </c>
      <c r="C56">
        <f t="shared" si="5"/>
        <v>1.4303573084819436E-2</v>
      </c>
      <c r="D56">
        <f t="shared" si="4"/>
        <v>60.36</v>
      </c>
      <c r="E56">
        <f t="shared" si="1"/>
        <v>62.39</v>
      </c>
      <c r="F56">
        <f t="shared" si="2"/>
        <v>44.334975369458036</v>
      </c>
      <c r="G56">
        <f t="shared" si="3"/>
        <v>15.165922022377501</v>
      </c>
    </row>
    <row r="57" spans="1:7" x14ac:dyDescent="0.35">
      <c r="A57" t="s">
        <v>57</v>
      </c>
      <c r="B57">
        <v>60.39</v>
      </c>
      <c r="C57">
        <f t="shared" si="5"/>
        <v>4.968944201617485E-4</v>
      </c>
      <c r="D57">
        <f t="shared" si="4"/>
        <v>60.36</v>
      </c>
      <c r="E57">
        <f t="shared" si="1"/>
        <v>62.94</v>
      </c>
      <c r="F57">
        <f t="shared" si="2"/>
        <v>1.1627906976744635</v>
      </c>
      <c r="G57">
        <f t="shared" si="3"/>
        <v>0.38759689922482116</v>
      </c>
    </row>
    <row r="58" spans="1:7" x14ac:dyDescent="0.35">
      <c r="A58" t="s">
        <v>58</v>
      </c>
      <c r="B58">
        <v>60.36</v>
      </c>
      <c r="C58">
        <f t="shared" si="5"/>
        <v>-1.5453209042517551E-2</v>
      </c>
      <c r="D58">
        <f t="shared" si="4"/>
        <v>60.36</v>
      </c>
      <c r="E58">
        <f t="shared" si="1"/>
        <v>62.94</v>
      </c>
      <c r="F58">
        <f t="shared" si="2"/>
        <v>0</v>
      </c>
      <c r="G58">
        <f t="shared" si="3"/>
        <v>0</v>
      </c>
    </row>
    <row r="59" spans="1:7" x14ac:dyDescent="0.35">
      <c r="A59" t="s">
        <v>59</v>
      </c>
      <c r="B59">
        <v>61.3</v>
      </c>
      <c r="C59">
        <f t="shared" si="5"/>
        <v>-1.4671124972393467E-3</v>
      </c>
      <c r="D59">
        <f t="shared" si="4"/>
        <v>61.3</v>
      </c>
      <c r="E59">
        <f t="shared" si="1"/>
        <v>62.94</v>
      </c>
      <c r="F59">
        <f t="shared" si="2"/>
        <v>0</v>
      </c>
      <c r="G59">
        <f t="shared" si="3"/>
        <v>4.0968342644320108</v>
      </c>
    </row>
    <row r="60" spans="1:7" x14ac:dyDescent="0.35">
      <c r="A60" t="s">
        <v>60</v>
      </c>
      <c r="B60">
        <v>61.39</v>
      </c>
      <c r="C60">
        <f t="shared" si="5"/>
        <v>-6.6564090242400027E-3</v>
      </c>
      <c r="D60">
        <f t="shared" si="4"/>
        <v>61.39</v>
      </c>
      <c r="E60">
        <f t="shared" si="1"/>
        <v>63.37</v>
      </c>
      <c r="F60">
        <f t="shared" si="2"/>
        <v>0</v>
      </c>
      <c r="G60">
        <f t="shared" si="3"/>
        <v>4.0968342644320108</v>
      </c>
    </row>
    <row r="61" spans="1:7" x14ac:dyDescent="0.35">
      <c r="A61" t="s">
        <v>61</v>
      </c>
      <c r="B61">
        <v>61.8</v>
      </c>
      <c r="C61">
        <f t="shared" si="5"/>
        <v>3.5662219672907905E-3</v>
      </c>
      <c r="D61">
        <f t="shared" si="4"/>
        <v>61.58</v>
      </c>
      <c r="E61">
        <f t="shared" si="1"/>
        <v>63.37</v>
      </c>
      <c r="F61">
        <f t="shared" si="2"/>
        <v>12.290502793296032</v>
      </c>
      <c r="G61">
        <f t="shared" si="3"/>
        <v>5.7060296667308732</v>
      </c>
    </row>
    <row r="62" spans="1:7" x14ac:dyDescent="0.35">
      <c r="A62" t="s">
        <v>62</v>
      </c>
      <c r="B62">
        <v>61.58</v>
      </c>
      <c r="C62">
        <f t="shared" si="5"/>
        <v>-6.6359392174738232E-3</v>
      </c>
      <c r="D62">
        <f t="shared" si="4"/>
        <v>61.58</v>
      </c>
      <c r="E62">
        <f t="shared" si="1"/>
        <v>63.37</v>
      </c>
      <c r="F62">
        <f t="shared" si="2"/>
        <v>0</v>
      </c>
      <c r="G62">
        <f t="shared" si="3"/>
        <v>5.9770114942528449</v>
      </c>
    </row>
    <row r="63" spans="1:7" x14ac:dyDescent="0.35">
      <c r="A63" t="s">
        <v>63</v>
      </c>
      <c r="B63">
        <v>61.99</v>
      </c>
      <c r="C63">
        <f t="shared" si="5"/>
        <v>-1.9339248573834841E-3</v>
      </c>
      <c r="D63">
        <f t="shared" si="4"/>
        <v>61.92</v>
      </c>
      <c r="E63">
        <f t="shared" si="1"/>
        <v>63.37</v>
      </c>
      <c r="F63">
        <f t="shared" si="2"/>
        <v>4.8275862068965854</v>
      </c>
      <c r="G63">
        <f t="shared" si="3"/>
        <v>16.551724137931057</v>
      </c>
    </row>
    <row r="64" spans="1:7" x14ac:dyDescent="0.35">
      <c r="A64" t="s">
        <v>64</v>
      </c>
      <c r="B64">
        <v>62.11</v>
      </c>
      <c r="C64">
        <f t="shared" si="5"/>
        <v>-4.3377046084456198E-3</v>
      </c>
      <c r="D64">
        <f t="shared" si="4"/>
        <v>61.92</v>
      </c>
      <c r="E64">
        <f t="shared" si="1"/>
        <v>63.37</v>
      </c>
      <c r="F64">
        <f t="shared" si="2"/>
        <v>13.10344827586195</v>
      </c>
      <c r="G64">
        <f t="shared" si="3"/>
        <v>18.44047112246351</v>
      </c>
    </row>
    <row r="65" spans="1:7" x14ac:dyDescent="0.35">
      <c r="A65" t="s">
        <v>65</v>
      </c>
      <c r="B65">
        <v>62.38</v>
      </c>
      <c r="C65">
        <f t="shared" si="5"/>
        <v>7.4014818981856124E-3</v>
      </c>
      <c r="D65">
        <f t="shared" si="4"/>
        <v>61.92</v>
      </c>
      <c r="E65">
        <f t="shared" si="1"/>
        <v>63.37</v>
      </c>
      <c r="F65">
        <f t="shared" si="2"/>
        <v>31.724137931034633</v>
      </c>
      <c r="G65">
        <f t="shared" si="3"/>
        <v>21.068539804172161</v>
      </c>
    </row>
    <row r="66" spans="1:7" x14ac:dyDescent="0.35">
      <c r="A66" t="s">
        <v>66</v>
      </c>
      <c r="B66">
        <v>61.92</v>
      </c>
      <c r="C66">
        <f t="shared" ref="C66:C97" si="6">LN(B66/B67)</f>
        <v>-2.7417160953297727E-3</v>
      </c>
      <c r="D66">
        <f t="shared" si="4"/>
        <v>61.75</v>
      </c>
      <c r="E66">
        <f t="shared" si="1"/>
        <v>63.37</v>
      </c>
      <c r="F66">
        <f t="shared" si="2"/>
        <v>10.493827160493948</v>
      </c>
      <c r="G66">
        <f t="shared" si="3"/>
        <v>15.432098765432267</v>
      </c>
    </row>
    <row r="67" spans="1:7" x14ac:dyDescent="0.35">
      <c r="A67" t="s">
        <v>67</v>
      </c>
      <c r="B67">
        <v>62.09</v>
      </c>
      <c r="C67">
        <f t="shared" si="6"/>
        <v>1.6118636629733596E-3</v>
      </c>
      <c r="D67">
        <f t="shared" si="4"/>
        <v>61.75</v>
      </c>
      <c r="E67">
        <f t="shared" ref="E67:E130" si="7" xml:space="preserve"> MAX(B67:B80)</f>
        <v>63.37</v>
      </c>
      <c r="F67">
        <f t="shared" ref="F67:F130" si="8" xml:space="preserve"> ((B67 - D67) / (E67 - D67)) * 100</f>
        <v>20.987654320987897</v>
      </c>
      <c r="G67">
        <f t="shared" ref="G67:G130" si="9" xml:space="preserve"> AVERAGE(F67:F69)</f>
        <v>23.40369042878018</v>
      </c>
    </row>
    <row r="68" spans="1:7" x14ac:dyDescent="0.35">
      <c r="A68" t="s">
        <v>68</v>
      </c>
      <c r="B68">
        <v>61.99</v>
      </c>
      <c r="C68">
        <f t="shared" si="6"/>
        <v>-6.431924408866958E-3</v>
      </c>
      <c r="D68">
        <f t="shared" ref="D68:D131" si="10" xml:space="preserve"> MIN(B68:B81)</f>
        <v>61.75</v>
      </c>
      <c r="E68">
        <f t="shared" si="7"/>
        <v>63.37</v>
      </c>
      <c r="F68">
        <f t="shared" si="8"/>
        <v>14.814814814814961</v>
      </c>
      <c r="G68">
        <f t="shared" si="9"/>
        <v>37.733970529669485</v>
      </c>
    </row>
    <row r="69" spans="1:7" x14ac:dyDescent="0.35">
      <c r="A69" t="s">
        <v>69</v>
      </c>
      <c r="B69">
        <v>62.39</v>
      </c>
      <c r="C69">
        <f t="shared" si="6"/>
        <v>-8.7768855135657679E-3</v>
      </c>
      <c r="D69">
        <f t="shared" si="10"/>
        <v>61.75</v>
      </c>
      <c r="E69">
        <f t="shared" si="7"/>
        <v>63.61</v>
      </c>
      <c r="F69">
        <f t="shared" si="8"/>
        <v>34.408602150537675</v>
      </c>
      <c r="G69">
        <f t="shared" si="9"/>
        <v>38.888888888888928</v>
      </c>
    </row>
    <row r="70" spans="1:7" x14ac:dyDescent="0.35">
      <c r="A70" t="s">
        <v>70</v>
      </c>
      <c r="B70">
        <v>62.94</v>
      </c>
      <c r="C70">
        <f t="shared" si="6"/>
        <v>1.3596946259459376E-2</v>
      </c>
      <c r="D70">
        <f t="shared" si="10"/>
        <v>61.75</v>
      </c>
      <c r="E70">
        <f t="shared" si="7"/>
        <v>63.61</v>
      </c>
      <c r="F70">
        <f t="shared" si="8"/>
        <v>63.978494623655813</v>
      </c>
      <c r="G70">
        <f t="shared" si="9"/>
        <v>43.727598566308217</v>
      </c>
    </row>
    <row r="71" spans="1:7" x14ac:dyDescent="0.35">
      <c r="A71" t="s">
        <v>71</v>
      </c>
      <c r="B71">
        <v>62.09</v>
      </c>
      <c r="C71">
        <f t="shared" si="6"/>
        <v>-9.1383401472441006E-3</v>
      </c>
      <c r="D71">
        <f t="shared" si="10"/>
        <v>61.75</v>
      </c>
      <c r="E71">
        <f t="shared" si="7"/>
        <v>63.61</v>
      </c>
      <c r="F71">
        <f t="shared" si="8"/>
        <v>18.279569892473308</v>
      </c>
      <c r="G71">
        <f t="shared" si="9"/>
        <v>51.433691756272367</v>
      </c>
    </row>
    <row r="72" spans="1:7" x14ac:dyDescent="0.35">
      <c r="A72" t="s">
        <v>72</v>
      </c>
      <c r="B72">
        <v>62.66</v>
      </c>
      <c r="C72">
        <f t="shared" si="6"/>
        <v>-1.126727781137994E-2</v>
      </c>
      <c r="D72">
        <f t="shared" si="10"/>
        <v>61.75</v>
      </c>
      <c r="E72">
        <f t="shared" si="7"/>
        <v>63.61</v>
      </c>
      <c r="F72">
        <f t="shared" si="8"/>
        <v>48.924731182795526</v>
      </c>
      <c r="G72">
        <f t="shared" si="9"/>
        <v>53.046594982078751</v>
      </c>
    </row>
    <row r="73" spans="1:7" x14ac:dyDescent="0.35">
      <c r="A73" t="s">
        <v>73</v>
      </c>
      <c r="B73">
        <v>63.37</v>
      </c>
      <c r="C73">
        <f t="shared" si="6"/>
        <v>1.8957158704817765E-2</v>
      </c>
      <c r="D73">
        <f t="shared" si="10"/>
        <v>61.75</v>
      </c>
      <c r="E73">
        <f t="shared" si="7"/>
        <v>63.61</v>
      </c>
      <c r="F73">
        <f t="shared" si="8"/>
        <v>87.096774193548271</v>
      </c>
      <c r="G73">
        <f t="shared" si="9"/>
        <v>49.283154121863816</v>
      </c>
    </row>
    <row r="74" spans="1:7" x14ac:dyDescent="0.35">
      <c r="A74" t="s">
        <v>74</v>
      </c>
      <c r="B74">
        <v>62.18</v>
      </c>
      <c r="C74">
        <f t="shared" si="6"/>
        <v>-4.3328319409789958E-3</v>
      </c>
      <c r="D74">
        <f t="shared" si="10"/>
        <v>61.75</v>
      </c>
      <c r="E74">
        <f t="shared" si="7"/>
        <v>63.61</v>
      </c>
      <c r="F74">
        <f t="shared" si="8"/>
        <v>23.118279569892465</v>
      </c>
      <c r="G74">
        <f t="shared" si="9"/>
        <v>28.456024262475989</v>
      </c>
    </row>
    <row r="75" spans="1:7" x14ac:dyDescent="0.35">
      <c r="A75" t="s">
        <v>75</v>
      </c>
      <c r="B75">
        <v>62.45</v>
      </c>
      <c r="C75">
        <f t="shared" si="6"/>
        <v>4.9763326066853356E-3</v>
      </c>
      <c r="D75">
        <f t="shared" si="10"/>
        <v>61.75</v>
      </c>
      <c r="E75">
        <f t="shared" si="7"/>
        <v>63.61</v>
      </c>
      <c r="F75">
        <f t="shared" si="8"/>
        <v>37.634408602150707</v>
      </c>
      <c r="G75">
        <f t="shared" si="9"/>
        <v>34.857296865270904</v>
      </c>
    </row>
    <row r="76" spans="1:7" x14ac:dyDescent="0.35">
      <c r="A76" t="s">
        <v>76</v>
      </c>
      <c r="B76">
        <v>62.14</v>
      </c>
      <c r="C76">
        <f t="shared" si="6"/>
        <v>1.1271235393400887E-3</v>
      </c>
      <c r="D76">
        <f t="shared" si="10"/>
        <v>61.66</v>
      </c>
      <c r="E76">
        <f t="shared" si="7"/>
        <v>63.61</v>
      </c>
      <c r="F76">
        <f t="shared" si="8"/>
        <v>24.615384615384784</v>
      </c>
      <c r="G76">
        <f t="shared" si="9"/>
        <v>41.856858506280645</v>
      </c>
    </row>
    <row r="77" spans="1:7" x14ac:dyDescent="0.35">
      <c r="A77" t="s">
        <v>77</v>
      </c>
      <c r="B77">
        <v>62.07</v>
      </c>
      <c r="C77">
        <f t="shared" si="6"/>
        <v>-6.2635714293711236E-3</v>
      </c>
      <c r="D77">
        <f t="shared" si="10"/>
        <v>60.94</v>
      </c>
      <c r="E77">
        <f t="shared" si="7"/>
        <v>63.61</v>
      </c>
      <c r="F77">
        <f t="shared" si="8"/>
        <v>42.322097378277221</v>
      </c>
      <c r="G77">
        <f t="shared" si="9"/>
        <v>44.682905361104439</v>
      </c>
    </row>
    <row r="78" spans="1:7" x14ac:dyDescent="0.35">
      <c r="A78" t="s">
        <v>78</v>
      </c>
      <c r="B78">
        <v>62.46</v>
      </c>
      <c r="C78">
        <f t="shared" si="6"/>
        <v>1.1432376346845999E-2</v>
      </c>
      <c r="D78">
        <f t="shared" si="10"/>
        <v>60.83</v>
      </c>
      <c r="E78">
        <f t="shared" si="7"/>
        <v>63.61</v>
      </c>
      <c r="F78">
        <f t="shared" si="8"/>
        <v>58.633093525179923</v>
      </c>
      <c r="G78">
        <f t="shared" si="9"/>
        <v>57.194244604316566</v>
      </c>
    </row>
    <row r="79" spans="1:7" x14ac:dyDescent="0.35">
      <c r="A79" t="s">
        <v>79</v>
      </c>
      <c r="B79">
        <v>61.75</v>
      </c>
      <c r="C79">
        <f t="shared" si="6"/>
        <v>-2.0834086902841914E-2</v>
      </c>
      <c r="D79">
        <f t="shared" si="10"/>
        <v>60.83</v>
      </c>
      <c r="E79">
        <f t="shared" si="7"/>
        <v>63.61</v>
      </c>
      <c r="F79">
        <f t="shared" si="8"/>
        <v>33.093525179856165</v>
      </c>
      <c r="G79">
        <f t="shared" si="9"/>
        <v>65.827338129496397</v>
      </c>
    </row>
    <row r="80" spans="1:7" x14ac:dyDescent="0.35">
      <c r="A80" t="s">
        <v>80</v>
      </c>
      <c r="B80">
        <v>63.05</v>
      </c>
      <c r="C80">
        <f t="shared" si="6"/>
        <v>-2.059732963010616E-3</v>
      </c>
      <c r="D80">
        <f t="shared" si="10"/>
        <v>60.83</v>
      </c>
      <c r="E80">
        <f t="shared" si="7"/>
        <v>63.61</v>
      </c>
      <c r="F80">
        <f t="shared" si="8"/>
        <v>79.856115107913595</v>
      </c>
      <c r="G80">
        <f t="shared" si="9"/>
        <v>88.129496402877677</v>
      </c>
    </row>
    <row r="81" spans="1:7" x14ac:dyDescent="0.35">
      <c r="A81" t="s">
        <v>81</v>
      </c>
      <c r="B81">
        <v>63.18</v>
      </c>
      <c r="C81">
        <f t="shared" si="6"/>
        <v>-6.7828953167737302E-3</v>
      </c>
      <c r="D81">
        <f t="shared" si="10"/>
        <v>60.83</v>
      </c>
      <c r="E81">
        <f t="shared" si="7"/>
        <v>63.61</v>
      </c>
      <c r="F81">
        <f t="shared" si="8"/>
        <v>84.532374100719437</v>
      </c>
      <c r="G81">
        <f t="shared" si="9"/>
        <v>93.515622284780804</v>
      </c>
    </row>
    <row r="82" spans="1:7" x14ac:dyDescent="0.35">
      <c r="A82" t="s">
        <v>82</v>
      </c>
      <c r="B82">
        <v>63.61</v>
      </c>
      <c r="C82">
        <f t="shared" si="6"/>
        <v>2.0457950325045793E-3</v>
      </c>
      <c r="D82">
        <f t="shared" si="10"/>
        <v>60.83</v>
      </c>
      <c r="E82">
        <f t="shared" si="7"/>
        <v>63.61</v>
      </c>
      <c r="F82">
        <f t="shared" si="8"/>
        <v>100</v>
      </c>
      <c r="G82">
        <f t="shared" si="9"/>
        <v>98.671497584540987</v>
      </c>
    </row>
    <row r="83" spans="1:7" x14ac:dyDescent="0.35">
      <c r="A83" t="s">
        <v>83</v>
      </c>
      <c r="B83">
        <v>63.48</v>
      </c>
      <c r="C83">
        <f t="shared" si="6"/>
        <v>-1.7313296211081824E-3</v>
      </c>
      <c r="D83">
        <f t="shared" si="10"/>
        <v>60.83</v>
      </c>
      <c r="E83">
        <f t="shared" si="7"/>
        <v>63.59</v>
      </c>
      <c r="F83">
        <f t="shared" si="8"/>
        <v>96.01449275362296</v>
      </c>
      <c r="G83">
        <f t="shared" si="9"/>
        <v>98.671497584540987</v>
      </c>
    </row>
    <row r="84" spans="1:7" x14ac:dyDescent="0.35">
      <c r="A84" t="s">
        <v>84</v>
      </c>
      <c r="B84">
        <v>63.59</v>
      </c>
      <c r="C84">
        <f t="shared" si="6"/>
        <v>2.5192896335107418E-3</v>
      </c>
      <c r="D84">
        <f t="shared" si="10"/>
        <v>60.83</v>
      </c>
      <c r="E84">
        <f t="shared" si="7"/>
        <v>63.59</v>
      </c>
      <c r="F84">
        <f t="shared" si="8"/>
        <v>100</v>
      </c>
      <c r="G84">
        <f t="shared" si="9"/>
        <v>86.647992530345434</v>
      </c>
    </row>
    <row r="85" spans="1:7" x14ac:dyDescent="0.35">
      <c r="A85" t="s">
        <v>85</v>
      </c>
      <c r="B85">
        <v>63.43</v>
      </c>
      <c r="C85">
        <f t="shared" si="6"/>
        <v>7.2785131451544825E-3</v>
      </c>
      <c r="D85">
        <f t="shared" si="10"/>
        <v>60.83</v>
      </c>
      <c r="E85">
        <f t="shared" si="7"/>
        <v>63.43</v>
      </c>
      <c r="F85">
        <f t="shared" si="8"/>
        <v>100</v>
      </c>
      <c r="G85">
        <f t="shared" si="9"/>
        <v>71.895424836601237</v>
      </c>
    </row>
    <row r="86" spans="1:7" x14ac:dyDescent="0.35">
      <c r="A86" t="s">
        <v>86</v>
      </c>
      <c r="B86">
        <v>62.97</v>
      </c>
      <c r="C86">
        <f t="shared" si="6"/>
        <v>2.3849283901508562E-3</v>
      </c>
      <c r="D86">
        <f t="shared" si="10"/>
        <v>60.83</v>
      </c>
      <c r="E86">
        <f t="shared" si="7"/>
        <v>64.400000000000006</v>
      </c>
      <c r="F86">
        <f t="shared" si="8"/>
        <v>59.943977591036301</v>
      </c>
      <c r="G86">
        <f t="shared" si="9"/>
        <v>50.046685340802945</v>
      </c>
    </row>
    <row r="87" spans="1:7" x14ac:dyDescent="0.35">
      <c r="A87" t="s">
        <v>87</v>
      </c>
      <c r="B87">
        <v>62.82</v>
      </c>
      <c r="C87">
        <f t="shared" si="6"/>
        <v>1.2171835090266392E-2</v>
      </c>
      <c r="D87">
        <f t="shared" si="10"/>
        <v>60.83</v>
      </c>
      <c r="E87">
        <f t="shared" si="7"/>
        <v>64.400000000000006</v>
      </c>
      <c r="F87">
        <f t="shared" si="8"/>
        <v>55.742296918767444</v>
      </c>
      <c r="G87">
        <f t="shared" si="9"/>
        <v>37.815126050420126</v>
      </c>
    </row>
    <row r="88" spans="1:7" x14ac:dyDescent="0.35">
      <c r="A88" t="s">
        <v>88</v>
      </c>
      <c r="B88">
        <v>62.06</v>
      </c>
      <c r="C88">
        <f t="shared" si="6"/>
        <v>6.4662365622299928E-3</v>
      </c>
      <c r="D88">
        <f t="shared" si="10"/>
        <v>60.83</v>
      </c>
      <c r="E88">
        <f t="shared" si="7"/>
        <v>64.400000000000006</v>
      </c>
      <c r="F88">
        <f t="shared" si="8"/>
        <v>34.453781512605083</v>
      </c>
      <c r="G88">
        <f t="shared" si="9"/>
        <v>20.126493419752304</v>
      </c>
    </row>
    <row r="89" spans="1:7" x14ac:dyDescent="0.35">
      <c r="A89" t="s">
        <v>89</v>
      </c>
      <c r="B89">
        <v>61.66</v>
      </c>
      <c r="C89">
        <f t="shared" si="6"/>
        <v>1.1745648900441202E-2</v>
      </c>
      <c r="D89">
        <f t="shared" si="10"/>
        <v>60.83</v>
      </c>
      <c r="E89">
        <f t="shared" si="7"/>
        <v>64.400000000000006</v>
      </c>
      <c r="F89">
        <f t="shared" si="8"/>
        <v>23.249299719887858</v>
      </c>
      <c r="G89">
        <f t="shared" si="9"/>
        <v>8.6418995822172793</v>
      </c>
    </row>
    <row r="90" spans="1:7" x14ac:dyDescent="0.35">
      <c r="A90" t="s">
        <v>90</v>
      </c>
      <c r="B90">
        <v>60.94</v>
      </c>
      <c r="C90">
        <f t="shared" si="6"/>
        <v>1.8066852249490513E-3</v>
      </c>
      <c r="D90">
        <f t="shared" si="10"/>
        <v>60.83</v>
      </c>
      <c r="E90">
        <f t="shared" si="7"/>
        <v>64.94</v>
      </c>
      <c r="F90">
        <f t="shared" si="8"/>
        <v>2.6763990267639768</v>
      </c>
      <c r="G90">
        <f t="shared" si="9"/>
        <v>0.89213300892132563</v>
      </c>
    </row>
    <row r="91" spans="1:7" x14ac:dyDescent="0.35">
      <c r="A91" t="s">
        <v>91</v>
      </c>
      <c r="B91">
        <v>60.83</v>
      </c>
      <c r="C91">
        <f t="shared" si="6"/>
        <v>-1.2903404835907841E-2</v>
      </c>
      <c r="D91">
        <f t="shared" si="10"/>
        <v>60.83</v>
      </c>
      <c r="E91">
        <f t="shared" si="7"/>
        <v>64.94</v>
      </c>
      <c r="F91">
        <f t="shared" si="8"/>
        <v>0</v>
      </c>
      <c r="G91">
        <f t="shared" si="9"/>
        <v>0</v>
      </c>
    </row>
    <row r="92" spans="1:7" x14ac:dyDescent="0.35">
      <c r="A92" t="s">
        <v>92</v>
      </c>
      <c r="B92">
        <v>61.62</v>
      </c>
      <c r="C92">
        <f t="shared" si="6"/>
        <v>-7.2762872570395539E-3</v>
      </c>
      <c r="D92">
        <f t="shared" si="10"/>
        <v>61.62</v>
      </c>
      <c r="E92">
        <f t="shared" si="7"/>
        <v>65.680000000000007</v>
      </c>
      <c r="F92">
        <f t="shared" si="8"/>
        <v>0</v>
      </c>
      <c r="G92">
        <f t="shared" si="9"/>
        <v>0</v>
      </c>
    </row>
    <row r="93" spans="1:7" x14ac:dyDescent="0.35">
      <c r="A93" t="s">
        <v>93</v>
      </c>
      <c r="B93">
        <v>62.07</v>
      </c>
      <c r="C93">
        <f t="shared" si="6"/>
        <v>-3.0563845879007473E-3</v>
      </c>
      <c r="D93">
        <f t="shared" si="10"/>
        <v>62.07</v>
      </c>
      <c r="E93">
        <f t="shared" si="7"/>
        <v>65.930000000000007</v>
      </c>
      <c r="F93">
        <f t="shared" si="8"/>
        <v>0</v>
      </c>
      <c r="G93">
        <f t="shared" si="9"/>
        <v>0</v>
      </c>
    </row>
    <row r="94" spans="1:7" x14ac:dyDescent="0.35">
      <c r="A94" t="s">
        <v>94</v>
      </c>
      <c r="B94">
        <v>62.26</v>
      </c>
      <c r="C94">
        <f t="shared" si="6"/>
        <v>-2.5665718291712891E-3</v>
      </c>
      <c r="D94">
        <f t="shared" si="10"/>
        <v>62.26</v>
      </c>
      <c r="E94">
        <f t="shared" si="7"/>
        <v>66.3</v>
      </c>
      <c r="F94">
        <f t="shared" si="8"/>
        <v>0</v>
      </c>
      <c r="G94">
        <f t="shared" si="9"/>
        <v>1.4619883040935664</v>
      </c>
    </row>
    <row r="95" spans="1:7" x14ac:dyDescent="0.35">
      <c r="A95" t="s">
        <v>95</v>
      </c>
      <c r="B95">
        <v>62.42</v>
      </c>
      <c r="C95">
        <f t="shared" si="6"/>
        <v>-8.7726856580178821E-3</v>
      </c>
      <c r="D95">
        <f t="shared" si="10"/>
        <v>62.42</v>
      </c>
      <c r="E95">
        <f t="shared" si="7"/>
        <v>67</v>
      </c>
      <c r="F95">
        <f t="shared" si="8"/>
        <v>0</v>
      </c>
      <c r="G95">
        <f t="shared" si="9"/>
        <v>1.4619883040935664</v>
      </c>
    </row>
    <row r="96" spans="1:7" x14ac:dyDescent="0.35">
      <c r="A96" t="s">
        <v>96</v>
      </c>
      <c r="B96">
        <v>62.97</v>
      </c>
      <c r="C96">
        <f t="shared" si="6"/>
        <v>3.9780464584988854E-3</v>
      </c>
      <c r="D96">
        <f t="shared" si="10"/>
        <v>62.72</v>
      </c>
      <c r="E96">
        <f t="shared" si="7"/>
        <v>68.42</v>
      </c>
      <c r="F96">
        <f t="shared" si="8"/>
        <v>4.3859649122806994</v>
      </c>
      <c r="G96">
        <f t="shared" si="9"/>
        <v>1.4619883040935664</v>
      </c>
    </row>
    <row r="97" spans="1:7" x14ac:dyDescent="0.35">
      <c r="A97" t="s">
        <v>97</v>
      </c>
      <c r="B97">
        <v>62.72</v>
      </c>
      <c r="C97">
        <f t="shared" si="6"/>
        <v>-6.3755182267942923E-4</v>
      </c>
      <c r="D97">
        <f t="shared" si="10"/>
        <v>62.72</v>
      </c>
      <c r="E97">
        <f t="shared" si="7"/>
        <v>68.42</v>
      </c>
      <c r="F97">
        <f t="shared" si="8"/>
        <v>0</v>
      </c>
      <c r="G97">
        <f t="shared" si="9"/>
        <v>2.1806853582555017</v>
      </c>
    </row>
    <row r="98" spans="1:7" x14ac:dyDescent="0.35">
      <c r="A98" t="s">
        <v>98</v>
      </c>
      <c r="B98">
        <v>62.76</v>
      </c>
      <c r="C98">
        <f t="shared" ref="C98:C129" si="11">LN(B98/B99)</f>
        <v>-2.5795705245476263E-2</v>
      </c>
      <c r="D98">
        <f t="shared" si="10"/>
        <v>62.76</v>
      </c>
      <c r="E98">
        <f t="shared" si="7"/>
        <v>69.400000000000006</v>
      </c>
      <c r="F98">
        <f t="shared" si="8"/>
        <v>0</v>
      </c>
      <c r="G98">
        <f t="shared" si="9"/>
        <v>2.7889578643382777</v>
      </c>
    </row>
    <row r="99" spans="1:7" x14ac:dyDescent="0.35">
      <c r="A99" t="s">
        <v>99</v>
      </c>
      <c r="B99">
        <v>64.400000000000006</v>
      </c>
      <c r="C99">
        <f t="shared" si="11"/>
        <v>3.8895420486625529E-3</v>
      </c>
      <c r="D99">
        <f t="shared" si="10"/>
        <v>64.05</v>
      </c>
      <c r="E99">
        <f t="shared" si="7"/>
        <v>69.400000000000006</v>
      </c>
      <c r="F99">
        <f t="shared" si="8"/>
        <v>6.5420560747665046</v>
      </c>
      <c r="G99">
        <f t="shared" si="9"/>
        <v>2.7889578643382777</v>
      </c>
    </row>
    <row r="100" spans="1:7" x14ac:dyDescent="0.35">
      <c r="A100" t="s">
        <v>100</v>
      </c>
      <c r="B100">
        <v>64.150000000000006</v>
      </c>
      <c r="C100">
        <f t="shared" si="11"/>
        <v>1.560062718902406E-3</v>
      </c>
      <c r="D100">
        <f t="shared" si="10"/>
        <v>64.05</v>
      </c>
      <c r="E100">
        <f t="shared" si="7"/>
        <v>69.53</v>
      </c>
      <c r="F100">
        <f t="shared" si="8"/>
        <v>1.8248175182483295</v>
      </c>
      <c r="G100">
        <f t="shared" si="9"/>
        <v>0.6082725060827765</v>
      </c>
    </row>
    <row r="101" spans="1:7" x14ac:dyDescent="0.35">
      <c r="A101" t="s">
        <v>101</v>
      </c>
      <c r="B101">
        <v>64.05</v>
      </c>
      <c r="C101">
        <f t="shared" si="11"/>
        <v>-4.5174934681371046E-3</v>
      </c>
      <c r="D101">
        <f t="shared" si="10"/>
        <v>64.05</v>
      </c>
      <c r="E101">
        <f t="shared" si="7"/>
        <v>69.53</v>
      </c>
      <c r="F101">
        <f t="shared" si="8"/>
        <v>0</v>
      </c>
      <c r="G101">
        <f t="shared" si="9"/>
        <v>2.3616734143049558</v>
      </c>
    </row>
    <row r="102" spans="1:7" x14ac:dyDescent="0.35">
      <c r="A102" t="s">
        <v>102</v>
      </c>
      <c r="B102">
        <v>64.34</v>
      </c>
      <c r="C102">
        <f t="shared" si="11"/>
        <v>-9.2822448638194971E-3</v>
      </c>
      <c r="D102">
        <f t="shared" si="10"/>
        <v>64.34</v>
      </c>
      <c r="E102">
        <f t="shared" si="7"/>
        <v>69.53</v>
      </c>
      <c r="F102">
        <f t="shared" si="8"/>
        <v>0</v>
      </c>
      <c r="G102">
        <f t="shared" si="9"/>
        <v>2.3616734143049558</v>
      </c>
    </row>
    <row r="103" spans="1:7" x14ac:dyDescent="0.35">
      <c r="A103" t="s">
        <v>103</v>
      </c>
      <c r="B103">
        <v>64.94</v>
      </c>
      <c r="C103">
        <f t="shared" si="11"/>
        <v>5.4041666303184287E-3</v>
      </c>
      <c r="D103">
        <f t="shared" si="10"/>
        <v>64.59</v>
      </c>
      <c r="E103">
        <f t="shared" si="7"/>
        <v>69.53</v>
      </c>
      <c r="F103">
        <f t="shared" si="8"/>
        <v>7.0850202429148679</v>
      </c>
      <c r="G103">
        <f t="shared" si="9"/>
        <v>2.3616734143049558</v>
      </c>
    </row>
    <row r="104" spans="1:7" x14ac:dyDescent="0.35">
      <c r="A104" t="s">
        <v>104</v>
      </c>
      <c r="B104">
        <v>64.59</v>
      </c>
      <c r="C104">
        <f t="shared" si="11"/>
        <v>-1.673486509979151E-2</v>
      </c>
      <c r="D104">
        <f t="shared" si="10"/>
        <v>64.59</v>
      </c>
      <c r="E104">
        <f t="shared" si="7"/>
        <v>69.53</v>
      </c>
      <c r="F104">
        <f t="shared" si="8"/>
        <v>0</v>
      </c>
      <c r="G104">
        <f t="shared" si="9"/>
        <v>0</v>
      </c>
    </row>
    <row r="105" spans="1:7" x14ac:dyDescent="0.35">
      <c r="A105" t="s">
        <v>105</v>
      </c>
      <c r="B105">
        <v>65.680000000000007</v>
      </c>
      <c r="C105">
        <f t="shared" si="11"/>
        <v>-3.7991079810355457E-3</v>
      </c>
      <c r="D105">
        <f t="shared" si="10"/>
        <v>65.680000000000007</v>
      </c>
      <c r="E105">
        <f t="shared" si="7"/>
        <v>69.53</v>
      </c>
      <c r="F105">
        <f t="shared" si="8"/>
        <v>0</v>
      </c>
      <c r="G105">
        <f t="shared" si="9"/>
        <v>0</v>
      </c>
    </row>
    <row r="106" spans="1:7" x14ac:dyDescent="0.35">
      <c r="A106" t="s">
        <v>106</v>
      </c>
      <c r="B106">
        <v>65.930000000000007</v>
      </c>
      <c r="C106">
        <f t="shared" si="11"/>
        <v>-5.5963240666084078E-3</v>
      </c>
      <c r="D106">
        <f t="shared" si="10"/>
        <v>65.930000000000007</v>
      </c>
      <c r="E106">
        <f t="shared" si="7"/>
        <v>69.53</v>
      </c>
      <c r="F106">
        <f t="shared" si="8"/>
        <v>0</v>
      </c>
      <c r="G106">
        <f t="shared" si="9"/>
        <v>0</v>
      </c>
    </row>
    <row r="107" spans="1:7" x14ac:dyDescent="0.35">
      <c r="A107" t="s">
        <v>107</v>
      </c>
      <c r="B107">
        <v>66.3</v>
      </c>
      <c r="C107">
        <f t="shared" si="11"/>
        <v>-1.0502722199149288E-2</v>
      </c>
      <c r="D107">
        <f t="shared" si="10"/>
        <v>66.3</v>
      </c>
      <c r="E107">
        <f t="shared" si="7"/>
        <v>69.53</v>
      </c>
      <c r="F107">
        <f t="shared" si="8"/>
        <v>0</v>
      </c>
      <c r="G107">
        <f t="shared" si="9"/>
        <v>9.3073593073594179</v>
      </c>
    </row>
    <row r="108" spans="1:7" x14ac:dyDescent="0.35">
      <c r="A108" t="s">
        <v>108</v>
      </c>
      <c r="B108">
        <v>67</v>
      </c>
      <c r="C108">
        <f t="shared" si="11"/>
        <v>-2.0972560158492585E-2</v>
      </c>
      <c r="D108">
        <f t="shared" si="10"/>
        <v>67</v>
      </c>
      <c r="E108">
        <f t="shared" si="7"/>
        <v>69.53</v>
      </c>
      <c r="F108">
        <f t="shared" si="8"/>
        <v>0</v>
      </c>
      <c r="G108">
        <f t="shared" si="9"/>
        <v>16.583163029863766</v>
      </c>
    </row>
    <row r="109" spans="1:7" x14ac:dyDescent="0.35">
      <c r="A109" t="s">
        <v>109</v>
      </c>
      <c r="B109">
        <v>68.42</v>
      </c>
      <c r="C109">
        <f t="shared" si="11"/>
        <v>0</v>
      </c>
      <c r="D109">
        <f t="shared" si="10"/>
        <v>67.989999999999995</v>
      </c>
      <c r="E109">
        <f t="shared" si="7"/>
        <v>69.53</v>
      </c>
      <c r="F109">
        <f t="shared" si="8"/>
        <v>27.922077922078252</v>
      </c>
      <c r="G109">
        <f t="shared" si="9"/>
        <v>34.252335962194657</v>
      </c>
    </row>
    <row r="110" spans="1:7" x14ac:dyDescent="0.35">
      <c r="A110" t="s">
        <v>110</v>
      </c>
      <c r="B110">
        <v>68.42</v>
      </c>
      <c r="C110">
        <f t="shared" si="11"/>
        <v>-1.4221687963300225E-2</v>
      </c>
      <c r="D110">
        <f t="shared" si="10"/>
        <v>67.989999999999995</v>
      </c>
      <c r="E110">
        <f t="shared" si="7"/>
        <v>69.959999999999994</v>
      </c>
      <c r="F110">
        <f t="shared" si="8"/>
        <v>21.827411167513048</v>
      </c>
      <c r="G110">
        <f t="shared" si="9"/>
        <v>35.383885314384578</v>
      </c>
    </row>
    <row r="111" spans="1:7" x14ac:dyDescent="0.35">
      <c r="A111" t="s">
        <v>111</v>
      </c>
      <c r="B111">
        <v>69.400000000000006</v>
      </c>
      <c r="C111">
        <f t="shared" si="11"/>
        <v>7.6661979561519272E-3</v>
      </c>
      <c r="D111">
        <f t="shared" si="10"/>
        <v>67.989999999999995</v>
      </c>
      <c r="E111">
        <f t="shared" si="7"/>
        <v>70.650000000000006</v>
      </c>
      <c r="F111">
        <f t="shared" si="8"/>
        <v>53.00751879699267</v>
      </c>
      <c r="G111">
        <f t="shared" si="9"/>
        <v>46.376171746091437</v>
      </c>
    </row>
    <row r="112" spans="1:7" x14ac:dyDescent="0.35">
      <c r="A112" t="s">
        <v>112</v>
      </c>
      <c r="B112">
        <v>68.87</v>
      </c>
      <c r="C112">
        <f t="shared" si="11"/>
        <v>-9.5376445543195864E-3</v>
      </c>
      <c r="D112">
        <f t="shared" si="10"/>
        <v>67.989999999999995</v>
      </c>
      <c r="E112">
        <f t="shared" si="7"/>
        <v>70.8</v>
      </c>
      <c r="F112">
        <f t="shared" si="8"/>
        <v>31.316725978648009</v>
      </c>
      <c r="G112">
        <f t="shared" si="9"/>
        <v>44.24673784104408</v>
      </c>
    </row>
    <row r="113" spans="1:7" x14ac:dyDescent="0.35">
      <c r="A113" t="s">
        <v>113</v>
      </c>
      <c r="B113">
        <v>69.53</v>
      </c>
      <c r="C113">
        <f t="shared" si="11"/>
        <v>3.3134079150689789E-3</v>
      </c>
      <c r="D113">
        <f t="shared" si="10"/>
        <v>67.989999999999995</v>
      </c>
      <c r="E113">
        <f t="shared" si="7"/>
        <v>70.8</v>
      </c>
      <c r="F113">
        <f t="shared" si="8"/>
        <v>54.804270462633632</v>
      </c>
      <c r="G113">
        <f t="shared" si="9"/>
        <v>49.347568208778263</v>
      </c>
    </row>
    <row r="114" spans="1:7" x14ac:dyDescent="0.35">
      <c r="A114" t="s">
        <v>114</v>
      </c>
      <c r="B114">
        <v>69.3</v>
      </c>
      <c r="C114">
        <f t="shared" si="11"/>
        <v>0</v>
      </c>
      <c r="D114">
        <f t="shared" si="10"/>
        <v>67.989999999999995</v>
      </c>
      <c r="E114">
        <f t="shared" si="7"/>
        <v>70.8</v>
      </c>
      <c r="F114">
        <f t="shared" si="8"/>
        <v>46.619217081850579</v>
      </c>
      <c r="G114">
        <f t="shared" si="9"/>
        <v>37.603795966785448</v>
      </c>
    </row>
    <row r="115" spans="1:7" x14ac:dyDescent="0.35">
      <c r="A115" t="s">
        <v>115</v>
      </c>
      <c r="B115">
        <v>69.3</v>
      </c>
      <c r="C115">
        <f t="shared" si="11"/>
        <v>1.1027389749394635E-2</v>
      </c>
      <c r="D115">
        <f t="shared" si="10"/>
        <v>67.989999999999995</v>
      </c>
      <c r="E115">
        <f t="shared" si="7"/>
        <v>70.8</v>
      </c>
      <c r="F115">
        <f t="shared" si="8"/>
        <v>46.619217081850579</v>
      </c>
      <c r="G115">
        <f t="shared" si="9"/>
        <v>24.911032028470004</v>
      </c>
    </row>
    <row r="116" spans="1:7" x14ac:dyDescent="0.35">
      <c r="A116" t="s">
        <v>116</v>
      </c>
      <c r="B116">
        <v>68.540000000000006</v>
      </c>
      <c r="C116">
        <f t="shared" si="11"/>
        <v>4.5331656191306179E-3</v>
      </c>
      <c r="D116">
        <f t="shared" si="10"/>
        <v>67.989999999999995</v>
      </c>
      <c r="E116">
        <f t="shared" si="7"/>
        <v>70.8</v>
      </c>
      <c r="F116">
        <f t="shared" si="8"/>
        <v>19.572953736655194</v>
      </c>
      <c r="G116">
        <f t="shared" si="9"/>
        <v>15.895610913404873</v>
      </c>
    </row>
    <row r="117" spans="1:7" x14ac:dyDescent="0.35">
      <c r="A117" t="s">
        <v>117</v>
      </c>
      <c r="B117">
        <v>68.23</v>
      </c>
      <c r="C117">
        <f t="shared" si="11"/>
        <v>-4.5331656191305147E-3</v>
      </c>
      <c r="D117">
        <f t="shared" si="10"/>
        <v>67.989999999999995</v>
      </c>
      <c r="E117">
        <f t="shared" si="7"/>
        <v>70.8</v>
      </c>
      <c r="F117">
        <f t="shared" si="8"/>
        <v>8.5409252669042317</v>
      </c>
      <c r="G117">
        <f t="shared" si="9"/>
        <v>11.387900355872141</v>
      </c>
    </row>
    <row r="118" spans="1:7" x14ac:dyDescent="0.35">
      <c r="A118" t="s">
        <v>118</v>
      </c>
      <c r="B118">
        <v>68.540000000000006</v>
      </c>
      <c r="C118">
        <f t="shared" si="11"/>
        <v>5.5596339254026855E-3</v>
      </c>
      <c r="D118">
        <f t="shared" si="10"/>
        <v>67.989999999999995</v>
      </c>
      <c r="E118">
        <f t="shared" si="7"/>
        <v>70.8</v>
      </c>
      <c r="F118">
        <f t="shared" si="8"/>
        <v>19.572953736655194</v>
      </c>
      <c r="G118">
        <f t="shared" si="9"/>
        <v>8.540925266904063</v>
      </c>
    </row>
    <row r="119" spans="1:7" x14ac:dyDescent="0.35">
      <c r="A119" t="s">
        <v>119</v>
      </c>
      <c r="B119">
        <v>68.16</v>
      </c>
      <c r="C119">
        <f t="shared" si="11"/>
        <v>2.4972469826921029E-3</v>
      </c>
      <c r="D119">
        <f t="shared" si="10"/>
        <v>67.989999999999995</v>
      </c>
      <c r="E119">
        <f t="shared" si="7"/>
        <v>70.8</v>
      </c>
      <c r="F119">
        <f t="shared" si="8"/>
        <v>6.0498220640569951</v>
      </c>
      <c r="G119">
        <f t="shared" si="9"/>
        <v>2.0166073546856649</v>
      </c>
    </row>
    <row r="120" spans="1:7" x14ac:dyDescent="0.35">
      <c r="A120" t="s">
        <v>120</v>
      </c>
      <c r="B120">
        <v>67.989999999999995</v>
      </c>
      <c r="C120">
        <f t="shared" si="11"/>
        <v>-1.6628154418805323E-2</v>
      </c>
      <c r="D120">
        <f t="shared" si="10"/>
        <v>67.989999999999995</v>
      </c>
      <c r="E120">
        <f t="shared" si="7"/>
        <v>70.8</v>
      </c>
      <c r="F120">
        <f t="shared" si="8"/>
        <v>0</v>
      </c>
      <c r="G120">
        <f t="shared" si="9"/>
        <v>0</v>
      </c>
    </row>
    <row r="121" spans="1:7" x14ac:dyDescent="0.35">
      <c r="A121" t="s">
        <v>121</v>
      </c>
      <c r="B121">
        <v>69.13</v>
      </c>
      <c r="C121">
        <f t="shared" si="11"/>
        <v>-5.0501514157306167E-3</v>
      </c>
      <c r="D121">
        <f t="shared" si="10"/>
        <v>69.13</v>
      </c>
      <c r="E121">
        <f t="shared" si="7"/>
        <v>70.8</v>
      </c>
      <c r="F121">
        <f t="shared" si="8"/>
        <v>0</v>
      </c>
      <c r="G121">
        <f t="shared" si="9"/>
        <v>8.9041095890410613</v>
      </c>
    </row>
    <row r="122" spans="1:7" x14ac:dyDescent="0.35">
      <c r="A122" t="s">
        <v>122</v>
      </c>
      <c r="B122">
        <v>69.48</v>
      </c>
      <c r="C122">
        <f t="shared" si="11"/>
        <v>-6.8847087774970318E-3</v>
      </c>
      <c r="D122">
        <f t="shared" si="10"/>
        <v>69.48</v>
      </c>
      <c r="E122">
        <f t="shared" si="7"/>
        <v>71.03</v>
      </c>
      <c r="F122">
        <f t="shared" si="8"/>
        <v>0</v>
      </c>
      <c r="G122">
        <f t="shared" si="9"/>
        <v>33.561643835616557</v>
      </c>
    </row>
    <row r="123" spans="1:7" x14ac:dyDescent="0.35">
      <c r="A123" t="s">
        <v>123</v>
      </c>
      <c r="B123">
        <v>69.959999999999994</v>
      </c>
      <c r="C123">
        <f t="shared" si="11"/>
        <v>-9.8144589801353477E-3</v>
      </c>
      <c r="D123">
        <f t="shared" si="10"/>
        <v>69.569999999999993</v>
      </c>
      <c r="E123">
        <f t="shared" si="7"/>
        <v>71.03</v>
      </c>
      <c r="F123">
        <f t="shared" si="8"/>
        <v>26.712328767123182</v>
      </c>
      <c r="G123">
        <f t="shared" si="9"/>
        <v>61.714796988769628</v>
      </c>
    </row>
    <row r="124" spans="1:7" x14ac:dyDescent="0.35">
      <c r="A124" t="s">
        <v>124</v>
      </c>
      <c r="B124">
        <v>70.650000000000006</v>
      </c>
      <c r="C124">
        <f t="shared" si="11"/>
        <v>-2.1208915691375133E-3</v>
      </c>
      <c r="D124">
        <f t="shared" si="10"/>
        <v>69.569999999999993</v>
      </c>
      <c r="E124">
        <f t="shared" si="7"/>
        <v>71.03</v>
      </c>
      <c r="F124">
        <f t="shared" si="8"/>
        <v>73.972602739726483</v>
      </c>
      <c r="G124">
        <f t="shared" si="9"/>
        <v>79.387263976305235</v>
      </c>
    </row>
    <row r="125" spans="1:7" x14ac:dyDescent="0.35">
      <c r="A125" t="s">
        <v>125</v>
      </c>
      <c r="B125">
        <v>70.8</v>
      </c>
      <c r="C125">
        <f t="shared" si="11"/>
        <v>9.8918965177551238E-4</v>
      </c>
      <c r="D125">
        <f t="shared" si="10"/>
        <v>69.55</v>
      </c>
      <c r="E125">
        <f t="shared" si="7"/>
        <v>71.03</v>
      </c>
      <c r="F125">
        <f t="shared" si="8"/>
        <v>84.459459459459225</v>
      </c>
      <c r="G125">
        <f t="shared" si="9"/>
        <v>72.522522522522635</v>
      </c>
    </row>
    <row r="126" spans="1:7" x14ac:dyDescent="0.35">
      <c r="A126" t="s">
        <v>126</v>
      </c>
      <c r="B126">
        <v>70.73</v>
      </c>
      <c r="C126">
        <f t="shared" si="11"/>
        <v>5.5291840020622153E-3</v>
      </c>
      <c r="D126">
        <f t="shared" si="10"/>
        <v>69.55</v>
      </c>
      <c r="E126">
        <f t="shared" si="7"/>
        <v>71.03</v>
      </c>
      <c r="F126">
        <f t="shared" si="8"/>
        <v>79.729729729729982</v>
      </c>
      <c r="G126">
        <f t="shared" si="9"/>
        <v>63.288288288288491</v>
      </c>
    </row>
    <row r="127" spans="1:7" x14ac:dyDescent="0.35">
      <c r="A127" t="s">
        <v>127</v>
      </c>
      <c r="B127">
        <v>70.34</v>
      </c>
      <c r="C127">
        <f t="shared" si="11"/>
        <v>-7.1058057420375685E-4</v>
      </c>
      <c r="D127">
        <f t="shared" si="10"/>
        <v>69.55</v>
      </c>
      <c r="E127">
        <f t="shared" si="7"/>
        <v>71.03</v>
      </c>
      <c r="F127">
        <f t="shared" si="8"/>
        <v>53.378378378378656</v>
      </c>
      <c r="G127">
        <f t="shared" si="9"/>
        <v>52.927927927927975</v>
      </c>
    </row>
    <row r="128" spans="1:7" x14ac:dyDescent="0.35">
      <c r="A128" t="s">
        <v>128</v>
      </c>
      <c r="B128">
        <v>70.39</v>
      </c>
      <c r="C128">
        <f t="shared" si="11"/>
        <v>1.7062424159339222E-3</v>
      </c>
      <c r="D128">
        <f t="shared" si="10"/>
        <v>69.55</v>
      </c>
      <c r="E128">
        <f t="shared" si="7"/>
        <v>71.03</v>
      </c>
      <c r="F128">
        <f t="shared" si="8"/>
        <v>56.756756756756829</v>
      </c>
      <c r="G128">
        <f t="shared" si="9"/>
        <v>60.360360360360346</v>
      </c>
    </row>
    <row r="129" spans="1:7" x14ac:dyDescent="0.35">
      <c r="A129" t="s">
        <v>129</v>
      </c>
      <c r="B129">
        <v>70.27</v>
      </c>
      <c r="C129">
        <f t="shared" si="11"/>
        <v>-5.6761894986566506E-3</v>
      </c>
      <c r="D129">
        <f t="shared" si="10"/>
        <v>69.55</v>
      </c>
      <c r="E129">
        <f t="shared" si="7"/>
        <v>71.03</v>
      </c>
      <c r="F129">
        <f t="shared" si="8"/>
        <v>48.64864864864844</v>
      </c>
      <c r="G129">
        <f t="shared" si="9"/>
        <v>59.607226273892913</v>
      </c>
    </row>
    <row r="130" spans="1:7" x14ac:dyDescent="0.35">
      <c r="A130" t="s">
        <v>130</v>
      </c>
      <c r="B130">
        <v>70.67</v>
      </c>
      <c r="C130">
        <f t="shared" ref="C130:C161" si="12">LN(B130/B131)</f>
        <v>1.2743364556390979E-3</v>
      </c>
      <c r="D130">
        <f t="shared" si="10"/>
        <v>69.55</v>
      </c>
      <c r="E130">
        <f t="shared" si="7"/>
        <v>71.03</v>
      </c>
      <c r="F130">
        <f t="shared" si="8"/>
        <v>75.675675675675777</v>
      </c>
      <c r="G130">
        <f t="shared" si="9"/>
        <v>43.743743743743721</v>
      </c>
    </row>
    <row r="131" spans="1:7" x14ac:dyDescent="0.35">
      <c r="A131" t="s">
        <v>131</v>
      </c>
      <c r="B131">
        <v>70.58</v>
      </c>
      <c r="C131">
        <f t="shared" si="12"/>
        <v>1.4413378311574198E-2</v>
      </c>
      <c r="D131">
        <f t="shared" si="10"/>
        <v>69.55</v>
      </c>
      <c r="E131">
        <f t="shared" ref="E131:E188" si="13" xml:space="preserve"> MAX(B131:B144)</f>
        <v>71.44</v>
      </c>
      <c r="F131">
        <f t="shared" ref="F131:F187" si="14" xml:space="preserve"> ((B131 - D131) / (E131 - D131)) * 100</f>
        <v>54.497354497354543</v>
      </c>
      <c r="G131">
        <f t="shared" ref="G131:G187" si="15" xml:space="preserve"> AVERAGE(F131:F133)</f>
        <v>38.62433862433857</v>
      </c>
    </row>
    <row r="132" spans="1:7" x14ac:dyDescent="0.35">
      <c r="A132" t="s">
        <v>132</v>
      </c>
      <c r="B132">
        <v>69.569999999999993</v>
      </c>
      <c r="C132">
        <f t="shared" si="12"/>
        <v>-1.5970680247312775E-2</v>
      </c>
      <c r="D132">
        <f t="shared" ref="D132:D188" si="16" xml:space="preserve"> MIN(B132:B145)</f>
        <v>69.55</v>
      </c>
      <c r="E132">
        <f t="shared" si="13"/>
        <v>71.44</v>
      </c>
      <c r="F132">
        <f t="shared" si="14"/>
        <v>1.0582010582008474</v>
      </c>
      <c r="G132">
        <f t="shared" si="15"/>
        <v>41.446208112874665</v>
      </c>
    </row>
    <row r="133" spans="1:7" x14ac:dyDescent="0.35">
      <c r="A133" t="s">
        <v>133</v>
      </c>
      <c r="B133">
        <v>70.69</v>
      </c>
      <c r="C133">
        <f t="shared" si="12"/>
        <v>-7.0706359447185647E-4</v>
      </c>
      <c r="D133">
        <f t="shared" si="16"/>
        <v>69.55</v>
      </c>
      <c r="E133">
        <f t="shared" si="13"/>
        <v>71.44</v>
      </c>
      <c r="F133">
        <f t="shared" si="14"/>
        <v>60.317460317460323</v>
      </c>
      <c r="G133">
        <f t="shared" si="15"/>
        <v>67.195767195767203</v>
      </c>
    </row>
    <row r="134" spans="1:7" x14ac:dyDescent="0.35">
      <c r="A134" t="s">
        <v>134</v>
      </c>
      <c r="B134">
        <v>70.739999999999995</v>
      </c>
      <c r="C134">
        <f t="shared" si="12"/>
        <v>-4.0911392323841281E-3</v>
      </c>
      <c r="D134">
        <f t="shared" si="16"/>
        <v>69.55</v>
      </c>
      <c r="E134">
        <f t="shared" si="13"/>
        <v>71.44</v>
      </c>
      <c r="F134">
        <f t="shared" si="14"/>
        <v>62.96296296296282</v>
      </c>
      <c r="G134">
        <f t="shared" si="15"/>
        <v>63.284915643406208</v>
      </c>
    </row>
    <row r="135" spans="1:7" x14ac:dyDescent="0.35">
      <c r="A135" t="s">
        <v>135</v>
      </c>
      <c r="B135">
        <v>71.03</v>
      </c>
      <c r="C135">
        <f t="shared" si="12"/>
        <v>9.6195394493207159E-3</v>
      </c>
      <c r="D135">
        <f t="shared" si="16"/>
        <v>69.55</v>
      </c>
      <c r="E135">
        <f t="shared" si="13"/>
        <v>71.44</v>
      </c>
      <c r="F135">
        <f t="shared" si="14"/>
        <v>78.306878306878488</v>
      </c>
      <c r="G135">
        <f t="shared" si="15"/>
        <v>57.217896243053531</v>
      </c>
    </row>
    <row r="136" spans="1:7" x14ac:dyDescent="0.35">
      <c r="A136" t="s">
        <v>136</v>
      </c>
      <c r="B136">
        <v>70.349999999999994</v>
      </c>
      <c r="C136">
        <f t="shared" si="12"/>
        <v>9.2824657939198189E-3</v>
      </c>
      <c r="D136">
        <f t="shared" si="16"/>
        <v>69.319999999999993</v>
      </c>
      <c r="E136">
        <f t="shared" si="13"/>
        <v>71.44</v>
      </c>
      <c r="F136">
        <f t="shared" si="14"/>
        <v>48.584905660377309</v>
      </c>
      <c r="G136">
        <f t="shared" si="15"/>
        <v>46.948936807427323</v>
      </c>
    </row>
    <row r="137" spans="1:7" x14ac:dyDescent="0.35">
      <c r="A137" t="s">
        <v>137</v>
      </c>
      <c r="B137">
        <v>69.7</v>
      </c>
      <c r="C137">
        <f t="shared" si="12"/>
        <v>2.1543993970264464E-3</v>
      </c>
      <c r="D137">
        <f t="shared" si="16"/>
        <v>68.290000000000006</v>
      </c>
      <c r="E137">
        <f t="shared" si="13"/>
        <v>71.44</v>
      </c>
      <c r="F137">
        <f t="shared" si="14"/>
        <v>44.761904761904773</v>
      </c>
      <c r="G137">
        <f t="shared" si="15"/>
        <v>50.846560846560863</v>
      </c>
    </row>
    <row r="138" spans="1:7" x14ac:dyDescent="0.35">
      <c r="A138" t="s">
        <v>138</v>
      </c>
      <c r="B138">
        <v>69.55</v>
      </c>
      <c r="C138">
        <f t="shared" si="12"/>
        <v>-6.5921706196543804E-3</v>
      </c>
      <c r="D138">
        <f t="shared" si="16"/>
        <v>67.84</v>
      </c>
      <c r="E138">
        <f t="shared" si="13"/>
        <v>71.44</v>
      </c>
      <c r="F138">
        <f t="shared" si="14"/>
        <v>47.499999999999901</v>
      </c>
      <c r="G138">
        <f t="shared" si="15"/>
        <v>58.703703703703695</v>
      </c>
    </row>
    <row r="139" spans="1:7" x14ac:dyDescent="0.35">
      <c r="A139" t="s">
        <v>139</v>
      </c>
      <c r="B139">
        <v>70.010000000000005</v>
      </c>
      <c r="C139">
        <f t="shared" si="12"/>
        <v>-4.1337098275129307E-3</v>
      </c>
      <c r="D139">
        <f t="shared" si="16"/>
        <v>67.84</v>
      </c>
      <c r="E139">
        <f t="shared" si="13"/>
        <v>71.44</v>
      </c>
      <c r="F139">
        <f t="shared" si="14"/>
        <v>60.277777777777921</v>
      </c>
      <c r="G139">
        <f t="shared" si="15"/>
        <v>60.721470201165666</v>
      </c>
    </row>
    <row r="140" spans="1:7" x14ac:dyDescent="0.35">
      <c r="A140" t="s">
        <v>140</v>
      </c>
      <c r="B140">
        <v>70.3</v>
      </c>
      <c r="C140">
        <f t="shared" si="12"/>
        <v>9.8635636360440079E-3</v>
      </c>
      <c r="D140">
        <f t="shared" si="16"/>
        <v>67.84</v>
      </c>
      <c r="E140">
        <f t="shared" si="13"/>
        <v>71.44</v>
      </c>
      <c r="F140">
        <f t="shared" si="14"/>
        <v>68.333333333333272</v>
      </c>
      <c r="G140">
        <f t="shared" si="15"/>
        <v>58.733784545967296</v>
      </c>
    </row>
    <row r="141" spans="1:7" x14ac:dyDescent="0.35">
      <c r="A141" t="s">
        <v>141</v>
      </c>
      <c r="B141">
        <v>69.61</v>
      </c>
      <c r="C141">
        <f t="shared" si="12"/>
        <v>-4.3087971941323564E-4</v>
      </c>
      <c r="D141">
        <f t="shared" si="16"/>
        <v>67.5</v>
      </c>
      <c r="E141">
        <f t="shared" si="13"/>
        <v>71.44</v>
      </c>
      <c r="F141">
        <f t="shared" si="14"/>
        <v>53.553299492385811</v>
      </c>
      <c r="G141">
        <f t="shared" si="15"/>
        <v>65.854523551952241</v>
      </c>
    </row>
    <row r="142" spans="1:7" x14ac:dyDescent="0.35">
      <c r="A142" t="s">
        <v>142</v>
      </c>
      <c r="B142">
        <v>69.64</v>
      </c>
      <c r="C142">
        <f t="shared" si="12"/>
        <v>-1.9340762141327125E-2</v>
      </c>
      <c r="D142">
        <f t="shared" si="16"/>
        <v>67.5</v>
      </c>
      <c r="E142">
        <f t="shared" si="13"/>
        <v>71.44</v>
      </c>
      <c r="F142">
        <f t="shared" si="14"/>
        <v>54.314720812182784</v>
      </c>
      <c r="G142">
        <f t="shared" si="15"/>
        <v>81.336757054490292</v>
      </c>
    </row>
    <row r="143" spans="1:7" x14ac:dyDescent="0.35">
      <c r="A143" t="s">
        <v>143</v>
      </c>
      <c r="B143">
        <v>71</v>
      </c>
      <c r="C143">
        <f t="shared" si="12"/>
        <v>-6.1780595269281743E-3</v>
      </c>
      <c r="D143">
        <f t="shared" si="16"/>
        <v>67.17</v>
      </c>
      <c r="E143">
        <f t="shared" si="13"/>
        <v>71.44</v>
      </c>
      <c r="F143">
        <f t="shared" si="14"/>
        <v>89.695550351288105</v>
      </c>
      <c r="G143">
        <f t="shared" si="15"/>
        <v>96.565183450429359</v>
      </c>
    </row>
    <row r="144" spans="1:7" x14ac:dyDescent="0.35">
      <c r="A144" t="s">
        <v>144</v>
      </c>
      <c r="B144">
        <v>71.44</v>
      </c>
      <c r="C144">
        <f t="shared" si="12"/>
        <v>7.4464692523383636E-3</v>
      </c>
      <c r="D144">
        <f t="shared" si="16"/>
        <v>67.11</v>
      </c>
      <c r="E144">
        <f t="shared" si="13"/>
        <v>71.44</v>
      </c>
      <c r="F144">
        <f t="shared" si="14"/>
        <v>100</v>
      </c>
      <c r="G144">
        <f t="shared" si="15"/>
        <v>100</v>
      </c>
    </row>
    <row r="145" spans="1:7" x14ac:dyDescent="0.35">
      <c r="A145" t="s">
        <v>145</v>
      </c>
      <c r="B145">
        <v>70.91</v>
      </c>
      <c r="C145">
        <f t="shared" si="12"/>
        <v>5.7987574976823457E-3</v>
      </c>
      <c r="D145">
        <f t="shared" si="16"/>
        <v>66.989999999999995</v>
      </c>
      <c r="E145">
        <f t="shared" si="13"/>
        <v>70.91</v>
      </c>
      <c r="F145">
        <f t="shared" si="14"/>
        <v>100</v>
      </c>
      <c r="G145">
        <f t="shared" si="15"/>
        <v>100</v>
      </c>
    </row>
    <row r="146" spans="1:7" x14ac:dyDescent="0.35">
      <c r="A146" t="s">
        <v>146</v>
      </c>
      <c r="B146">
        <v>70.5</v>
      </c>
      <c r="C146">
        <f t="shared" si="12"/>
        <v>4.1219587890657002E-3</v>
      </c>
      <c r="D146">
        <f t="shared" si="16"/>
        <v>66.7</v>
      </c>
      <c r="E146">
        <f t="shared" si="13"/>
        <v>70.5</v>
      </c>
      <c r="F146">
        <f t="shared" si="14"/>
        <v>100</v>
      </c>
      <c r="G146">
        <f t="shared" si="15"/>
        <v>100</v>
      </c>
    </row>
    <row r="147" spans="1:7" x14ac:dyDescent="0.35">
      <c r="A147" t="s">
        <v>147</v>
      </c>
      <c r="B147">
        <v>70.209999999999994</v>
      </c>
      <c r="C147">
        <f t="shared" si="12"/>
        <v>3.5671008787561821E-3</v>
      </c>
      <c r="D147">
        <f t="shared" si="16"/>
        <v>66.7</v>
      </c>
      <c r="E147">
        <f t="shared" si="13"/>
        <v>70.209999999999994</v>
      </c>
      <c r="F147">
        <f t="shared" si="14"/>
        <v>100</v>
      </c>
      <c r="G147">
        <f t="shared" si="15"/>
        <v>100</v>
      </c>
    </row>
    <row r="148" spans="1:7" x14ac:dyDescent="0.35">
      <c r="A148" t="s">
        <v>148</v>
      </c>
      <c r="B148">
        <v>69.959999999999994</v>
      </c>
      <c r="C148">
        <f t="shared" si="12"/>
        <v>9.1901853029959599E-3</v>
      </c>
      <c r="D148">
        <f t="shared" si="16"/>
        <v>66.7</v>
      </c>
      <c r="E148">
        <f t="shared" si="13"/>
        <v>69.959999999999994</v>
      </c>
      <c r="F148">
        <f t="shared" si="14"/>
        <v>100</v>
      </c>
      <c r="G148">
        <f t="shared" si="15"/>
        <v>100</v>
      </c>
    </row>
    <row r="149" spans="1:7" x14ac:dyDescent="0.35">
      <c r="A149" t="s">
        <v>149</v>
      </c>
      <c r="B149">
        <v>69.319999999999993</v>
      </c>
      <c r="C149">
        <f t="shared" si="12"/>
        <v>1.4970121874407234E-2</v>
      </c>
      <c r="D149">
        <f t="shared" si="16"/>
        <v>66.7</v>
      </c>
      <c r="E149">
        <f t="shared" si="13"/>
        <v>69.319999999999993</v>
      </c>
      <c r="F149">
        <f t="shared" si="14"/>
        <v>100</v>
      </c>
      <c r="G149">
        <f t="shared" si="15"/>
        <v>94.819819819820012</v>
      </c>
    </row>
    <row r="150" spans="1:7" x14ac:dyDescent="0.35">
      <c r="A150" t="s">
        <v>150</v>
      </c>
      <c r="B150">
        <v>68.290000000000006</v>
      </c>
      <c r="C150">
        <f t="shared" si="12"/>
        <v>6.6113514893502987E-3</v>
      </c>
      <c r="D150">
        <f t="shared" si="16"/>
        <v>66.59</v>
      </c>
      <c r="E150">
        <f t="shared" si="13"/>
        <v>68.290000000000006</v>
      </c>
      <c r="F150">
        <f t="shared" si="14"/>
        <v>100</v>
      </c>
      <c r="G150">
        <f t="shared" si="15"/>
        <v>94.819819819820012</v>
      </c>
    </row>
    <row r="151" spans="1:7" x14ac:dyDescent="0.35">
      <c r="A151" t="s">
        <v>151</v>
      </c>
      <c r="B151">
        <v>67.84</v>
      </c>
      <c r="C151">
        <f t="shared" si="12"/>
        <v>-3.3845959762122228E-3</v>
      </c>
      <c r="D151">
        <f t="shared" si="16"/>
        <v>66.59</v>
      </c>
      <c r="E151">
        <f t="shared" si="13"/>
        <v>68.069999999999993</v>
      </c>
      <c r="F151">
        <f t="shared" si="14"/>
        <v>84.459459459460035</v>
      </c>
      <c r="G151">
        <f t="shared" si="15"/>
        <v>94.819819819820012</v>
      </c>
    </row>
    <row r="152" spans="1:7" x14ac:dyDescent="0.35">
      <c r="A152" t="s">
        <v>152</v>
      </c>
      <c r="B152">
        <v>68.069999999999993</v>
      </c>
      <c r="C152">
        <f t="shared" si="12"/>
        <v>2.6478391463042772E-3</v>
      </c>
      <c r="D152">
        <f t="shared" si="16"/>
        <v>66.59</v>
      </c>
      <c r="E152">
        <f t="shared" si="13"/>
        <v>68.069999999999993</v>
      </c>
      <c r="F152">
        <f t="shared" si="14"/>
        <v>100</v>
      </c>
      <c r="G152">
        <f t="shared" si="15"/>
        <v>95.538057742782129</v>
      </c>
    </row>
    <row r="153" spans="1:7" x14ac:dyDescent="0.35">
      <c r="A153" t="s">
        <v>153</v>
      </c>
      <c r="B153">
        <v>67.89</v>
      </c>
      <c r="C153">
        <f t="shared" si="12"/>
        <v>5.7611504350716623E-3</v>
      </c>
      <c r="D153">
        <f t="shared" si="16"/>
        <v>66.5</v>
      </c>
      <c r="E153">
        <f t="shared" si="13"/>
        <v>67.89</v>
      </c>
      <c r="F153">
        <f t="shared" si="14"/>
        <v>100</v>
      </c>
      <c r="G153">
        <f t="shared" si="15"/>
        <v>93.569553805774191</v>
      </c>
    </row>
    <row r="154" spans="1:7" x14ac:dyDescent="0.35">
      <c r="A154" t="s">
        <v>154</v>
      </c>
      <c r="B154">
        <v>67.5</v>
      </c>
      <c r="C154">
        <f t="shared" si="12"/>
        <v>-2.8108606420320795E-3</v>
      </c>
      <c r="D154">
        <f t="shared" si="16"/>
        <v>65.3</v>
      </c>
      <c r="E154">
        <f t="shared" si="13"/>
        <v>67.84</v>
      </c>
      <c r="F154">
        <f t="shared" si="14"/>
        <v>86.61417322834636</v>
      </c>
      <c r="G154">
        <f t="shared" si="15"/>
        <v>84.776902887139002</v>
      </c>
    </row>
    <row r="155" spans="1:7" x14ac:dyDescent="0.35">
      <c r="A155" t="s">
        <v>155</v>
      </c>
      <c r="B155">
        <v>67.69</v>
      </c>
      <c r="C155">
        <f t="shared" si="12"/>
        <v>7.7117392417430358E-3</v>
      </c>
      <c r="D155">
        <f t="shared" si="16"/>
        <v>65.3</v>
      </c>
      <c r="E155">
        <f t="shared" si="13"/>
        <v>67.84</v>
      </c>
      <c r="F155">
        <f t="shared" si="14"/>
        <v>94.094488188976172</v>
      </c>
      <c r="G155">
        <f t="shared" si="15"/>
        <v>79.658792650918528</v>
      </c>
    </row>
    <row r="156" spans="1:7" x14ac:dyDescent="0.35">
      <c r="A156" t="s">
        <v>156</v>
      </c>
      <c r="B156">
        <v>67.17</v>
      </c>
      <c r="C156">
        <f t="shared" si="12"/>
        <v>8.936551086252693E-4</v>
      </c>
      <c r="D156">
        <f t="shared" si="16"/>
        <v>65.3</v>
      </c>
      <c r="E156">
        <f t="shared" si="13"/>
        <v>67.84</v>
      </c>
      <c r="F156">
        <f t="shared" si="14"/>
        <v>73.622047244094489</v>
      </c>
      <c r="G156">
        <f t="shared" si="15"/>
        <v>72.745373912900263</v>
      </c>
    </row>
    <row r="157" spans="1:7" x14ac:dyDescent="0.35">
      <c r="A157" t="s">
        <v>157</v>
      </c>
      <c r="B157">
        <v>67.11</v>
      </c>
      <c r="C157">
        <f t="shared" si="12"/>
        <v>1.7897096499717093E-3</v>
      </c>
      <c r="D157">
        <f t="shared" si="16"/>
        <v>65.3</v>
      </c>
      <c r="E157">
        <f t="shared" si="13"/>
        <v>67.84</v>
      </c>
      <c r="F157">
        <f t="shared" si="14"/>
        <v>71.259842519684952</v>
      </c>
      <c r="G157">
        <f t="shared" si="15"/>
        <v>70.52353207791225</v>
      </c>
    </row>
    <row r="158" spans="1:7" x14ac:dyDescent="0.35">
      <c r="A158" t="s">
        <v>158</v>
      </c>
      <c r="B158">
        <v>66.989999999999995</v>
      </c>
      <c r="C158">
        <f t="shared" si="12"/>
        <v>4.3384015985981411E-3</v>
      </c>
      <c r="D158">
        <f t="shared" si="16"/>
        <v>64.650000000000006</v>
      </c>
      <c r="E158">
        <f t="shared" si="13"/>
        <v>67.84</v>
      </c>
      <c r="F158">
        <f t="shared" si="14"/>
        <v>73.354231974921348</v>
      </c>
      <c r="G158">
        <f t="shared" si="15"/>
        <v>75.11916089533814</v>
      </c>
    </row>
    <row r="159" spans="1:7" x14ac:dyDescent="0.35">
      <c r="A159" t="s">
        <v>159</v>
      </c>
      <c r="B159">
        <v>66.7</v>
      </c>
      <c r="C159">
        <f t="shared" si="12"/>
        <v>-7.4682946075257991E-3</v>
      </c>
      <c r="D159">
        <f t="shared" si="16"/>
        <v>64.39</v>
      </c>
      <c r="E159">
        <f t="shared" si="13"/>
        <v>67.84</v>
      </c>
      <c r="F159">
        <f t="shared" si="14"/>
        <v>66.956521739130451</v>
      </c>
      <c r="G159">
        <f t="shared" si="15"/>
        <v>79.591517053174499</v>
      </c>
    </row>
    <row r="160" spans="1:7" x14ac:dyDescent="0.35">
      <c r="A160" t="s">
        <v>160</v>
      </c>
      <c r="B160">
        <v>67.2</v>
      </c>
      <c r="C160">
        <f t="shared" si="12"/>
        <v>-7.4377095284454138E-4</v>
      </c>
      <c r="D160">
        <f t="shared" si="16"/>
        <v>63.56</v>
      </c>
      <c r="E160">
        <f t="shared" si="13"/>
        <v>67.84</v>
      </c>
      <c r="F160">
        <f t="shared" si="14"/>
        <v>85.046728971962608</v>
      </c>
      <c r="G160">
        <f t="shared" si="15"/>
        <v>84.253244485422428</v>
      </c>
    </row>
    <row r="161" spans="1:7" x14ac:dyDescent="0.35">
      <c r="A161" t="s">
        <v>161</v>
      </c>
      <c r="B161">
        <v>67.25</v>
      </c>
      <c r="C161">
        <f t="shared" si="12"/>
        <v>3.8736639617724237E-3</v>
      </c>
      <c r="D161">
        <f t="shared" si="16"/>
        <v>63.38</v>
      </c>
      <c r="E161">
        <f t="shared" si="13"/>
        <v>67.84</v>
      </c>
      <c r="F161">
        <f t="shared" si="14"/>
        <v>86.771300448430424</v>
      </c>
      <c r="G161">
        <f t="shared" si="15"/>
        <v>79.895366218236106</v>
      </c>
    </row>
    <row r="162" spans="1:7" x14ac:dyDescent="0.35">
      <c r="A162" t="s">
        <v>162</v>
      </c>
      <c r="B162">
        <v>66.989999999999995</v>
      </c>
      <c r="C162">
        <f t="shared" ref="C162:C187" si="17">LN(B162/B163)</f>
        <v>5.988938397645055E-3</v>
      </c>
      <c r="D162">
        <f t="shared" si="16"/>
        <v>63.38</v>
      </c>
      <c r="E162">
        <f t="shared" si="13"/>
        <v>67.84</v>
      </c>
      <c r="F162">
        <f t="shared" si="14"/>
        <v>80.941704035874253</v>
      </c>
      <c r="G162">
        <f t="shared" si="15"/>
        <v>75.336322869955083</v>
      </c>
    </row>
    <row r="163" spans="1:7" x14ac:dyDescent="0.35">
      <c r="A163" t="s">
        <v>163</v>
      </c>
      <c r="B163">
        <v>66.59</v>
      </c>
      <c r="C163">
        <f t="shared" si="17"/>
        <v>-7.50581736056186E-4</v>
      </c>
      <c r="D163">
        <f t="shared" si="16"/>
        <v>63.38</v>
      </c>
      <c r="E163">
        <f t="shared" si="13"/>
        <v>67.84</v>
      </c>
      <c r="F163">
        <f t="shared" si="14"/>
        <v>71.973094170403598</v>
      </c>
      <c r="G163">
        <f t="shared" si="15"/>
        <v>81.689088191330328</v>
      </c>
    </row>
    <row r="164" spans="1:7" x14ac:dyDescent="0.35">
      <c r="A164" t="s">
        <v>164</v>
      </c>
      <c r="B164">
        <v>66.64</v>
      </c>
      <c r="C164">
        <f t="shared" si="17"/>
        <v>-1.7846993625060419E-2</v>
      </c>
      <c r="D164">
        <f t="shared" si="16"/>
        <v>63.38</v>
      </c>
      <c r="E164">
        <f t="shared" si="13"/>
        <v>67.84</v>
      </c>
      <c r="F164">
        <f t="shared" si="14"/>
        <v>73.094170403587384</v>
      </c>
      <c r="G164">
        <f t="shared" si="15"/>
        <v>91.031390134529133</v>
      </c>
    </row>
    <row r="165" spans="1:7" x14ac:dyDescent="0.35">
      <c r="A165" t="s">
        <v>165</v>
      </c>
      <c r="B165">
        <v>67.84</v>
      </c>
      <c r="C165">
        <f t="shared" si="17"/>
        <v>1.9950043821839139E-2</v>
      </c>
      <c r="D165">
        <f t="shared" si="16"/>
        <v>62.89</v>
      </c>
      <c r="E165">
        <f t="shared" si="13"/>
        <v>67.84</v>
      </c>
      <c r="F165">
        <f t="shared" si="14"/>
        <v>100</v>
      </c>
      <c r="G165">
        <f t="shared" si="15"/>
        <v>92.645883293365287</v>
      </c>
    </row>
    <row r="166" spans="1:7" x14ac:dyDescent="0.35">
      <c r="A166" t="s">
        <v>166</v>
      </c>
      <c r="B166">
        <v>66.5</v>
      </c>
      <c r="C166">
        <f t="shared" si="17"/>
        <v>1.8209911379423169E-2</v>
      </c>
      <c r="D166">
        <f t="shared" si="16"/>
        <v>62.05</v>
      </c>
      <c r="E166">
        <f t="shared" si="13"/>
        <v>66.5</v>
      </c>
      <c r="F166">
        <f t="shared" si="14"/>
        <v>100</v>
      </c>
      <c r="G166">
        <f t="shared" si="15"/>
        <v>92.645883293365287</v>
      </c>
    </row>
    <row r="167" spans="1:7" x14ac:dyDescent="0.35">
      <c r="A167" t="s">
        <v>167</v>
      </c>
      <c r="B167">
        <v>65.3</v>
      </c>
      <c r="C167">
        <f t="shared" si="17"/>
        <v>-1.3990495836714868E-2</v>
      </c>
      <c r="D167">
        <f t="shared" si="16"/>
        <v>62.05</v>
      </c>
      <c r="E167">
        <f t="shared" si="13"/>
        <v>66.22</v>
      </c>
      <c r="F167">
        <f t="shared" si="14"/>
        <v>77.93764988009589</v>
      </c>
      <c r="G167">
        <f t="shared" si="15"/>
        <v>90.870257788926253</v>
      </c>
    </row>
    <row r="168" spans="1:7" x14ac:dyDescent="0.35">
      <c r="A168" t="s">
        <v>168</v>
      </c>
      <c r="B168">
        <v>66.22</v>
      </c>
      <c r="C168">
        <f t="shared" si="17"/>
        <v>1.2613190545915623E-2</v>
      </c>
      <c r="D168">
        <f t="shared" si="16"/>
        <v>61.74</v>
      </c>
      <c r="E168">
        <f t="shared" si="13"/>
        <v>66.22</v>
      </c>
      <c r="F168">
        <f t="shared" si="14"/>
        <v>100</v>
      </c>
      <c r="G168">
        <f t="shared" si="15"/>
        <v>98.224374495560937</v>
      </c>
    </row>
    <row r="169" spans="1:7" x14ac:dyDescent="0.35">
      <c r="A169" t="s">
        <v>169</v>
      </c>
      <c r="B169">
        <v>65.39</v>
      </c>
      <c r="C169">
        <f t="shared" si="17"/>
        <v>-3.3587817836015694E-3</v>
      </c>
      <c r="D169">
        <f t="shared" si="16"/>
        <v>61.48</v>
      </c>
      <c r="E169">
        <f t="shared" si="13"/>
        <v>65.61</v>
      </c>
      <c r="F169">
        <f t="shared" si="14"/>
        <v>94.67312348668284</v>
      </c>
      <c r="G169">
        <f t="shared" si="15"/>
        <v>98.224374495560937</v>
      </c>
    </row>
    <row r="170" spans="1:7" x14ac:dyDescent="0.35">
      <c r="A170" t="s">
        <v>170</v>
      </c>
      <c r="B170">
        <v>65.61</v>
      </c>
      <c r="C170">
        <f t="shared" si="17"/>
        <v>1.4740018138919633E-2</v>
      </c>
      <c r="D170">
        <f t="shared" si="16"/>
        <v>61.34</v>
      </c>
      <c r="E170">
        <f t="shared" si="13"/>
        <v>65.61</v>
      </c>
      <c r="F170">
        <f t="shared" si="14"/>
        <v>100</v>
      </c>
      <c r="G170">
        <f t="shared" si="15"/>
        <v>100</v>
      </c>
    </row>
    <row r="171" spans="1:7" x14ac:dyDescent="0.35">
      <c r="A171" t="s">
        <v>171</v>
      </c>
      <c r="B171">
        <v>64.650000000000006</v>
      </c>
      <c r="C171">
        <f t="shared" si="17"/>
        <v>4.0297636677744221E-3</v>
      </c>
      <c r="D171">
        <f t="shared" si="16"/>
        <v>61.34</v>
      </c>
      <c r="E171">
        <f t="shared" si="13"/>
        <v>64.650000000000006</v>
      </c>
      <c r="F171">
        <f t="shared" si="14"/>
        <v>100</v>
      </c>
      <c r="G171">
        <f t="shared" si="15"/>
        <v>95.686274509803937</v>
      </c>
    </row>
    <row r="172" spans="1:7" x14ac:dyDescent="0.35">
      <c r="A172" t="s">
        <v>172</v>
      </c>
      <c r="B172">
        <v>64.39</v>
      </c>
      <c r="C172">
        <f t="shared" si="17"/>
        <v>1.2973999881576917E-2</v>
      </c>
      <c r="D172">
        <f t="shared" si="16"/>
        <v>61.34</v>
      </c>
      <c r="E172">
        <f t="shared" si="13"/>
        <v>64.39</v>
      </c>
      <c r="F172">
        <f t="shared" si="14"/>
        <v>100</v>
      </c>
      <c r="G172">
        <f t="shared" si="15"/>
        <v>89.019607843137294</v>
      </c>
    </row>
    <row r="173" spans="1:7" x14ac:dyDescent="0.35">
      <c r="A173" t="s">
        <v>173</v>
      </c>
      <c r="B173">
        <v>63.56</v>
      </c>
      <c r="C173">
        <f t="shared" si="17"/>
        <v>2.8359874057405101E-3</v>
      </c>
      <c r="D173">
        <f t="shared" si="16"/>
        <v>61.34</v>
      </c>
      <c r="E173">
        <f t="shared" si="13"/>
        <v>63.89</v>
      </c>
      <c r="F173">
        <f t="shared" si="14"/>
        <v>87.058823529411825</v>
      </c>
      <c r="G173">
        <f t="shared" si="15"/>
        <v>89.019607843137294</v>
      </c>
    </row>
    <row r="174" spans="1:7" x14ac:dyDescent="0.35">
      <c r="A174" t="s">
        <v>174</v>
      </c>
      <c r="B174">
        <v>63.38</v>
      </c>
      <c r="C174">
        <f t="shared" si="17"/>
        <v>-8.0145003514772144E-3</v>
      </c>
      <c r="D174">
        <f t="shared" si="16"/>
        <v>61.34</v>
      </c>
      <c r="E174">
        <f t="shared" si="13"/>
        <v>63.89</v>
      </c>
      <c r="F174">
        <f t="shared" si="14"/>
        <v>80.000000000000057</v>
      </c>
      <c r="G174">
        <f t="shared" si="15"/>
        <v>93.063427800269892</v>
      </c>
    </row>
    <row r="175" spans="1:7" x14ac:dyDescent="0.35">
      <c r="A175" t="s">
        <v>175</v>
      </c>
      <c r="B175">
        <v>63.89</v>
      </c>
      <c r="C175">
        <f t="shared" si="17"/>
        <v>1.5664163603879037E-3</v>
      </c>
      <c r="D175">
        <f t="shared" si="16"/>
        <v>61.34</v>
      </c>
      <c r="E175">
        <f t="shared" si="13"/>
        <v>63.89</v>
      </c>
      <c r="F175">
        <f t="shared" si="14"/>
        <v>100</v>
      </c>
      <c r="G175">
        <f t="shared" si="15"/>
        <v>99.730094466936521</v>
      </c>
    </row>
    <row r="176" spans="1:7" x14ac:dyDescent="0.35">
      <c r="A176" t="s">
        <v>176</v>
      </c>
      <c r="B176">
        <v>63.79</v>
      </c>
      <c r="C176">
        <f t="shared" si="17"/>
        <v>-3.1347962639157411E-4</v>
      </c>
      <c r="D176">
        <f t="shared" si="16"/>
        <v>61.34</v>
      </c>
      <c r="E176">
        <f t="shared" si="13"/>
        <v>63.81</v>
      </c>
      <c r="F176">
        <f t="shared" si="14"/>
        <v>99.190283400809591</v>
      </c>
      <c r="G176">
        <f t="shared" si="15"/>
        <v>99.730094466936521</v>
      </c>
    </row>
    <row r="177" spans="1:7" x14ac:dyDescent="0.35">
      <c r="A177" t="s">
        <v>177</v>
      </c>
      <c r="B177">
        <v>63.81</v>
      </c>
      <c r="C177">
        <f t="shared" si="17"/>
        <v>1.4522749324843494E-2</v>
      </c>
      <c r="D177">
        <f t="shared" si="16"/>
        <v>61.34</v>
      </c>
      <c r="E177">
        <f t="shared" si="13"/>
        <v>63.81</v>
      </c>
      <c r="F177">
        <f t="shared" si="14"/>
        <v>100</v>
      </c>
      <c r="G177">
        <f t="shared" si="15"/>
        <v>89.20634920634906</v>
      </c>
    </row>
    <row r="178" spans="1:7" x14ac:dyDescent="0.35">
      <c r="A178" t="s">
        <v>178</v>
      </c>
      <c r="B178">
        <v>62.89</v>
      </c>
      <c r="C178">
        <f t="shared" si="17"/>
        <v>1.3446656904795786E-2</v>
      </c>
      <c r="D178">
        <f t="shared" si="16"/>
        <v>61.34</v>
      </c>
      <c r="E178">
        <f t="shared" si="13"/>
        <v>62.89</v>
      </c>
      <c r="F178">
        <f t="shared" si="14"/>
        <v>100</v>
      </c>
      <c r="G178">
        <f t="shared" si="15"/>
        <v>87.301587301587077</v>
      </c>
    </row>
    <row r="179" spans="1:7" x14ac:dyDescent="0.35">
      <c r="A179" t="s">
        <v>179</v>
      </c>
      <c r="B179">
        <v>62.05</v>
      </c>
      <c r="C179">
        <f t="shared" si="17"/>
        <v>-4.5023391701430526E-3</v>
      </c>
      <c r="D179">
        <f t="shared" si="16"/>
        <v>61.34</v>
      </c>
      <c r="E179">
        <f t="shared" si="13"/>
        <v>62.39</v>
      </c>
      <c r="F179">
        <f t="shared" si="14"/>
        <v>67.619047619047194</v>
      </c>
      <c r="G179">
        <f t="shared" si="15"/>
        <v>66.666666666666444</v>
      </c>
    </row>
    <row r="180" spans="1:7" x14ac:dyDescent="0.35">
      <c r="A180" t="s">
        <v>180</v>
      </c>
      <c r="B180">
        <v>62.33</v>
      </c>
      <c r="C180">
        <f t="shared" si="17"/>
        <v>9.5108317467459368E-3</v>
      </c>
      <c r="D180">
        <f t="shared" si="16"/>
        <v>61.34</v>
      </c>
      <c r="E180">
        <f t="shared" si="13"/>
        <v>62.39</v>
      </c>
      <c r="F180">
        <f t="shared" si="14"/>
        <v>94.28571428571405</v>
      </c>
      <c r="G180">
        <f t="shared" si="15"/>
        <v>48.571428571428292</v>
      </c>
    </row>
    <row r="181" spans="1:7" x14ac:dyDescent="0.35">
      <c r="A181" t="s">
        <v>181</v>
      </c>
      <c r="B181">
        <v>61.74</v>
      </c>
      <c r="C181">
        <f t="shared" si="17"/>
        <v>4.2201004036181381E-3</v>
      </c>
      <c r="D181">
        <f t="shared" si="16"/>
        <v>61.34</v>
      </c>
      <c r="E181">
        <f t="shared" si="13"/>
        <v>62.39</v>
      </c>
      <c r="F181">
        <f t="shared" si="14"/>
        <v>38.095238095238066</v>
      </c>
      <c r="G181">
        <f t="shared" si="15"/>
        <v>17.142857142856936</v>
      </c>
    </row>
    <row r="182" spans="1:7" x14ac:dyDescent="0.35">
      <c r="A182" t="s">
        <v>182</v>
      </c>
      <c r="B182">
        <v>61.48</v>
      </c>
      <c r="C182">
        <f t="shared" si="17"/>
        <v>2.2797599842894947E-3</v>
      </c>
      <c r="D182">
        <f t="shared" si="16"/>
        <v>61.34</v>
      </c>
      <c r="E182">
        <f t="shared" si="13"/>
        <v>62.39</v>
      </c>
      <c r="F182">
        <f t="shared" si="14"/>
        <v>13.333333333332748</v>
      </c>
      <c r="G182">
        <f t="shared" si="15"/>
        <v>4.4444444444442492</v>
      </c>
    </row>
    <row r="183" spans="1:7" x14ac:dyDescent="0.35">
      <c r="A183" t="s">
        <v>183</v>
      </c>
      <c r="B183">
        <v>61.34</v>
      </c>
      <c r="C183">
        <f t="shared" si="17"/>
        <v>-4.3920363403738231E-3</v>
      </c>
      <c r="D183">
        <f t="shared" si="16"/>
        <v>61.34</v>
      </c>
      <c r="E183">
        <f t="shared" si="13"/>
        <v>62.39</v>
      </c>
      <c r="F183">
        <f t="shared" si="14"/>
        <v>0</v>
      </c>
      <c r="G183">
        <f t="shared" si="15"/>
        <v>33.333333333333336</v>
      </c>
    </row>
    <row r="184" spans="1:7" x14ac:dyDescent="0.35">
      <c r="A184" t="s">
        <v>184</v>
      </c>
      <c r="B184">
        <v>61.61</v>
      </c>
      <c r="C184">
        <f t="shared" si="17"/>
        <v>-1.2580811096215647E-2</v>
      </c>
      <c r="D184">
        <f t="shared" si="16"/>
        <v>61.61</v>
      </c>
      <c r="E184">
        <f t="shared" si="13"/>
        <v>62.39</v>
      </c>
      <c r="F184">
        <f t="shared" si="14"/>
        <v>0</v>
      </c>
      <c r="G184">
        <f t="shared" si="15"/>
        <v>66.666666666666671</v>
      </c>
    </row>
    <row r="185" spans="1:7" x14ac:dyDescent="0.35">
      <c r="A185" t="s">
        <v>185</v>
      </c>
      <c r="B185">
        <v>62.39</v>
      </c>
      <c r="C185">
        <f t="shared" si="17"/>
        <v>6.7546091486788912E-3</v>
      </c>
      <c r="D185">
        <f t="shared" si="16"/>
        <v>61.79</v>
      </c>
      <c r="E185">
        <f t="shared" si="13"/>
        <v>62.39</v>
      </c>
      <c r="F185">
        <f t="shared" si="14"/>
        <v>100</v>
      </c>
      <c r="G185">
        <f t="shared" si="15"/>
        <v>66.666666666666671</v>
      </c>
    </row>
    <row r="186" spans="1:7" x14ac:dyDescent="0.35">
      <c r="A186" t="s">
        <v>186</v>
      </c>
      <c r="B186">
        <v>61.97</v>
      </c>
      <c r="C186">
        <f t="shared" si="17"/>
        <v>2.9088579011278893E-3</v>
      </c>
      <c r="D186">
        <f t="shared" si="16"/>
        <v>61.79</v>
      </c>
      <c r="E186">
        <f t="shared" si="13"/>
        <v>61.97</v>
      </c>
      <c r="F186">
        <f t="shared" si="14"/>
        <v>100</v>
      </c>
      <c r="G186">
        <f t="shared" si="15"/>
        <v>50</v>
      </c>
    </row>
    <row r="187" spans="1:7" x14ac:dyDescent="0.35">
      <c r="A187" t="s">
        <v>187</v>
      </c>
      <c r="B187">
        <v>61.79</v>
      </c>
      <c r="C187">
        <f t="shared" si="17"/>
        <v>-2.1016902085835704E-3</v>
      </c>
      <c r="D187">
        <f t="shared" si="16"/>
        <v>61.79</v>
      </c>
      <c r="E187">
        <f t="shared" si="13"/>
        <v>61.92</v>
      </c>
      <c r="F187">
        <f t="shared" si="14"/>
        <v>0</v>
      </c>
      <c r="G187">
        <f t="shared" si="15"/>
        <v>0</v>
      </c>
    </row>
    <row r="188" spans="1:7" x14ac:dyDescent="0.35">
      <c r="A188" t="s">
        <v>188</v>
      </c>
      <c r="B188">
        <v>61.92</v>
      </c>
      <c r="D188">
        <f t="shared" si="16"/>
        <v>61.92</v>
      </c>
      <c r="E188">
        <f t="shared" si="13"/>
        <v>61.92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CF574-3E4E-4212-8F20-C14826D11FF8}">
  <sheetPr codeName="Sheet6"/>
  <dimension ref="A1:C8"/>
  <sheetViews>
    <sheetView workbookViewId="0">
      <selection activeCell="B5" sqref="B5"/>
    </sheetView>
  </sheetViews>
  <sheetFormatPr defaultRowHeight="14.5" x14ac:dyDescent="0.35"/>
  <cols>
    <col min="1" max="1" width="19.26953125" customWidth="1"/>
    <col min="2" max="2" width="9.7265625" customWidth="1"/>
    <col min="3" max="3" width="39.08984375" customWidth="1"/>
  </cols>
  <sheetData>
    <row r="1" spans="1:3" x14ac:dyDescent="0.35">
      <c r="A1" t="s">
        <v>225</v>
      </c>
      <c r="B1" t="s">
        <v>232</v>
      </c>
      <c r="C1" t="s">
        <v>233</v>
      </c>
    </row>
    <row r="2" spans="1:3" x14ac:dyDescent="0.35">
      <c r="A2" t="s">
        <v>226</v>
      </c>
      <c r="B2" t="s">
        <v>239</v>
      </c>
      <c r="C2" t="s">
        <v>234</v>
      </c>
    </row>
    <row r="3" spans="1:3" x14ac:dyDescent="0.35">
      <c r="A3" s="1" t="s">
        <v>227</v>
      </c>
      <c r="B3">
        <v>70.37</v>
      </c>
      <c r="C3" t="s">
        <v>235</v>
      </c>
    </row>
    <row r="4" spans="1:3" x14ac:dyDescent="0.35">
      <c r="A4" s="1" t="s">
        <v>228</v>
      </c>
      <c r="B4">
        <v>75</v>
      </c>
      <c r="C4" t="s">
        <v>236</v>
      </c>
    </row>
    <row r="5" spans="1:3" x14ac:dyDescent="0.35">
      <c r="A5" s="1" t="s">
        <v>229</v>
      </c>
      <c r="B5">
        <f ca="1">DATEDIF(TODAY(), "31/12/2025", "Y") + DATEDIF(TODAY(), "31/12/2025", "M")/12</f>
        <v>0.75</v>
      </c>
      <c r="C5" t="s">
        <v>237</v>
      </c>
    </row>
    <row r="6" spans="1:3" x14ac:dyDescent="0.35">
      <c r="A6" s="1" t="s">
        <v>231</v>
      </c>
      <c r="B6">
        <v>0.03</v>
      </c>
    </row>
    <row r="7" spans="1:3" x14ac:dyDescent="0.35">
      <c r="A7" s="1" t="s">
        <v>230</v>
      </c>
      <c r="B7">
        <f>'Return, Volatility, VaR &amp; CAPM'!$H$5</f>
        <v>0.16270942462480742</v>
      </c>
      <c r="C7" t="s">
        <v>238</v>
      </c>
    </row>
    <row r="8" spans="1:3" x14ac:dyDescent="0.35">
      <c r="A8" s="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FE3E-DF36-4F75-A295-4ED50F7F7F09}">
  <sheetPr codeName="Sheet7"/>
  <dimension ref="A1:C12"/>
  <sheetViews>
    <sheetView workbookViewId="0">
      <selection activeCell="C15" sqref="C15"/>
    </sheetView>
  </sheetViews>
  <sheetFormatPr defaultRowHeight="14.5" x14ac:dyDescent="0.35"/>
  <cols>
    <col min="1" max="1" width="16.6328125" customWidth="1"/>
    <col min="3" max="3" width="35.08984375" customWidth="1"/>
  </cols>
  <sheetData>
    <row r="1" spans="1:3" x14ac:dyDescent="0.35">
      <c r="A1" t="s">
        <v>225</v>
      </c>
      <c r="B1" t="s">
        <v>232</v>
      </c>
      <c r="C1" t="s">
        <v>233</v>
      </c>
    </row>
    <row r="2" spans="1:3" x14ac:dyDescent="0.35">
      <c r="A2" t="s">
        <v>226</v>
      </c>
      <c r="B2" t="s">
        <v>239</v>
      </c>
      <c r="C2" t="s">
        <v>234</v>
      </c>
    </row>
    <row r="3" spans="1:3" x14ac:dyDescent="0.35">
      <c r="A3" s="1" t="s">
        <v>227</v>
      </c>
      <c r="B3">
        <v>70.37</v>
      </c>
      <c r="C3" t="s">
        <v>235</v>
      </c>
    </row>
    <row r="4" spans="1:3" x14ac:dyDescent="0.35">
      <c r="A4" s="1" t="s">
        <v>228</v>
      </c>
      <c r="B4">
        <v>75</v>
      </c>
      <c r="C4" t="s">
        <v>236</v>
      </c>
    </row>
    <row r="5" spans="1:3" x14ac:dyDescent="0.35">
      <c r="A5" s="1" t="s">
        <v>229</v>
      </c>
      <c r="B5">
        <f ca="1">DATEDIF(TODAY(), "31/12/2025", "Y") + DATEDIF(TODAY(), "31/12/2025", "M")/12</f>
        <v>0.75</v>
      </c>
      <c r="C5" t="s">
        <v>237</v>
      </c>
    </row>
    <row r="6" spans="1:3" x14ac:dyDescent="0.35">
      <c r="A6" s="1" t="s">
        <v>231</v>
      </c>
      <c r="B6">
        <v>0.03</v>
      </c>
    </row>
    <row r="7" spans="1:3" x14ac:dyDescent="0.35">
      <c r="A7" s="1" t="s">
        <v>230</v>
      </c>
      <c r="B7">
        <f>'Return, Volatility, VaR &amp; CAPM'!$H$5</f>
        <v>0.16270942462480742</v>
      </c>
      <c r="C7" t="s">
        <v>238</v>
      </c>
    </row>
    <row r="9" spans="1:3" x14ac:dyDescent="0.35">
      <c r="A9" t="s">
        <v>240</v>
      </c>
      <c r="B9">
        <f ca="1" xml:space="preserve"> (LN(B3/B4) + (B6 + 0.5 * B7^2) * B5) / (B7 * SQRT(B5))</f>
        <v>-0.22207851657264924</v>
      </c>
    </row>
    <row r="10" spans="1:3" x14ac:dyDescent="0.35">
      <c r="A10" t="s">
        <v>241</v>
      </c>
      <c r="B10">
        <f ca="1" xml:space="preserve"> B9 - B7 * SQRT(B5)</f>
        <v>-0.36298901173288178</v>
      </c>
    </row>
    <row r="11" spans="1:3" x14ac:dyDescent="0.35">
      <c r="A11" t="s">
        <v>242</v>
      </c>
      <c r="B11">
        <f ca="1" xml:space="preserve"> B3 * _xlfn.NORM.S.DIST(B9, TRUE) - B4 * EXP(-B6 * B5) * _xlfn.NORM.S.DIST(B10, TRUE)</f>
        <v>2.726233242493862</v>
      </c>
    </row>
    <row r="12" spans="1:3" x14ac:dyDescent="0.35">
      <c r="A12" t="s">
        <v>243</v>
      </c>
      <c r="B12">
        <f ca="1" xml:space="preserve"> B4 * EXP(-B6 * B5) * _xlfn.NORM.S.DIST(-B10, TRUE) - B3 * _xlfn.NORM.S.DIST(-B9, TRUE)</f>
        <v>5.6875760319940838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3888E-6ECB-4227-85BB-7F3D9F7A3008}">
  <sheetPr codeName="Sheet8"/>
  <dimension ref="A1:B10"/>
  <sheetViews>
    <sheetView tabSelected="1" workbookViewId="0">
      <selection activeCell="J11" sqref="J11"/>
    </sheetView>
  </sheetViews>
  <sheetFormatPr defaultRowHeight="14.5" x14ac:dyDescent="0.35"/>
  <cols>
    <col min="1" max="1" width="19.90625" customWidth="1"/>
  </cols>
  <sheetData>
    <row r="1" spans="1:2" x14ac:dyDescent="0.35">
      <c r="A1" s="2" t="s">
        <v>227</v>
      </c>
      <c r="B1">
        <v>70.37</v>
      </c>
    </row>
    <row r="2" spans="1:2" x14ac:dyDescent="0.35">
      <c r="A2" s="2" t="s">
        <v>228</v>
      </c>
      <c r="B2">
        <v>75</v>
      </c>
    </row>
    <row r="3" spans="1:2" x14ac:dyDescent="0.35">
      <c r="A3" s="2" t="s">
        <v>244</v>
      </c>
      <c r="B3">
        <f ca="1">DATEDIF(TODAY(), "31/12/2025", "Y") + DATEDIF(TODAY(), "31/12/2025", "M")/12</f>
        <v>0.75</v>
      </c>
    </row>
    <row r="4" spans="1:2" x14ac:dyDescent="0.35">
      <c r="A4" s="2" t="s">
        <v>245</v>
      </c>
      <c r="B4">
        <v>0.03</v>
      </c>
    </row>
    <row r="5" spans="1:2" x14ac:dyDescent="0.35">
      <c r="A5" s="2" t="s">
        <v>230</v>
      </c>
      <c r="B5">
        <f>'Black-Scholes Model'!$B$7</f>
        <v>0.16270942462480742</v>
      </c>
    </row>
    <row r="6" spans="1:2" x14ac:dyDescent="0.35">
      <c r="A6" s="2" t="s">
        <v>246</v>
      </c>
      <c r="B6">
        <v>1000</v>
      </c>
    </row>
    <row r="7" spans="1:2" x14ac:dyDescent="0.35">
      <c r="A7" s="2" t="s">
        <v>251</v>
      </c>
      <c r="B7">
        <v>2.4644848448725498</v>
      </c>
    </row>
    <row r="8" spans="1:2" x14ac:dyDescent="0.35">
      <c r="A8" s="2" t="s">
        <v>252</v>
      </c>
      <c r="B8">
        <v>5.6961276456413321</v>
      </c>
    </row>
    <row r="9" spans="1:2" x14ac:dyDescent="0.35">
      <c r="A9" s="2" t="s">
        <v>253</v>
      </c>
      <c r="B9">
        <v>2.7262332424938638</v>
      </c>
    </row>
    <row r="10" spans="1:2" x14ac:dyDescent="0.35">
      <c r="A10" s="2" t="s">
        <v>254</v>
      </c>
      <c r="B10">
        <v>5.6875760319940847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F4723-317E-40E2-A6E1-B069FD1E354B}">
  <sheetPr codeName="Sheet9"/>
  <dimension ref="A1:D1001"/>
  <sheetViews>
    <sheetView topLeftCell="A37" workbookViewId="0">
      <selection activeCell="J23" sqref="J23"/>
    </sheetView>
  </sheetViews>
  <sheetFormatPr defaultRowHeight="14.5" x14ac:dyDescent="0.35"/>
  <sheetData>
    <row r="1" spans="1:4" x14ac:dyDescent="0.35">
      <c r="A1" t="s">
        <v>247</v>
      </c>
      <c r="B1" t="s">
        <v>248</v>
      </c>
      <c r="C1" t="s">
        <v>249</v>
      </c>
      <c r="D1" t="s">
        <v>250</v>
      </c>
    </row>
    <row r="2" spans="1:4" x14ac:dyDescent="0.35">
      <c r="A2">
        <v>1</v>
      </c>
      <c r="B2">
        <v>76.89881762362279</v>
      </c>
      <c r="C2">
        <v>1.8988176236227901</v>
      </c>
      <c r="D2">
        <v>0</v>
      </c>
    </row>
    <row r="3" spans="1:4" x14ac:dyDescent="0.35">
      <c r="A3">
        <v>2</v>
      </c>
      <c r="B3">
        <v>72.107546314398803</v>
      </c>
      <c r="C3">
        <v>0</v>
      </c>
      <c r="D3">
        <v>2.8924536856011969</v>
      </c>
    </row>
    <row r="4" spans="1:4" x14ac:dyDescent="0.35">
      <c r="A4">
        <v>3</v>
      </c>
      <c r="B4">
        <v>73.30395422959657</v>
      </c>
      <c r="C4">
        <v>0</v>
      </c>
      <c r="D4">
        <v>1.6960457704034297</v>
      </c>
    </row>
    <row r="5" spans="1:4" x14ac:dyDescent="0.35">
      <c r="A5">
        <v>4</v>
      </c>
      <c r="B5">
        <v>65.902821826904812</v>
      </c>
      <c r="C5">
        <v>0</v>
      </c>
      <c r="D5">
        <v>9.0971781730951875</v>
      </c>
    </row>
    <row r="6" spans="1:4" x14ac:dyDescent="0.35">
      <c r="A6">
        <v>5</v>
      </c>
      <c r="B6">
        <v>66.23665028732448</v>
      </c>
      <c r="C6">
        <v>0</v>
      </c>
      <c r="D6">
        <v>8.7633497126755202</v>
      </c>
    </row>
    <row r="7" spans="1:4" x14ac:dyDescent="0.35">
      <c r="A7">
        <v>6</v>
      </c>
      <c r="B7">
        <v>79.254404333167173</v>
      </c>
      <c r="C7">
        <v>4.254404333167173</v>
      </c>
      <c r="D7">
        <v>0</v>
      </c>
    </row>
    <row r="8" spans="1:4" x14ac:dyDescent="0.35">
      <c r="A8">
        <v>7</v>
      </c>
      <c r="B8">
        <v>52.289106521903534</v>
      </c>
      <c r="C8">
        <v>0</v>
      </c>
      <c r="D8">
        <v>22.710893478096466</v>
      </c>
    </row>
    <row r="9" spans="1:4" x14ac:dyDescent="0.35">
      <c r="A9">
        <v>8</v>
      </c>
      <c r="B9">
        <v>78.743272900589616</v>
      </c>
      <c r="C9">
        <v>3.7432729005896164</v>
      </c>
      <c r="D9">
        <v>0</v>
      </c>
    </row>
    <row r="10" spans="1:4" x14ac:dyDescent="0.35">
      <c r="A10">
        <v>9</v>
      </c>
      <c r="B10">
        <v>80.833596115164482</v>
      </c>
      <c r="C10">
        <v>5.8335961151644824</v>
      </c>
      <c r="D10">
        <v>0</v>
      </c>
    </row>
    <row r="11" spans="1:4" x14ac:dyDescent="0.35">
      <c r="A11">
        <v>10</v>
      </c>
      <c r="B11">
        <v>77.008909488637784</v>
      </c>
      <c r="C11">
        <v>2.0089094886377836</v>
      </c>
      <c r="D11">
        <v>0</v>
      </c>
    </row>
    <row r="12" spans="1:4" x14ac:dyDescent="0.35">
      <c r="A12">
        <v>11</v>
      </c>
      <c r="B12">
        <v>56.146401128191926</v>
      </c>
      <c r="C12">
        <v>0</v>
      </c>
      <c r="D12">
        <v>18.853598871808074</v>
      </c>
    </row>
    <row r="13" spans="1:4" x14ac:dyDescent="0.35">
      <c r="A13">
        <v>12</v>
      </c>
      <c r="B13">
        <v>69.112507979092712</v>
      </c>
      <c r="C13">
        <v>0</v>
      </c>
      <c r="D13">
        <v>5.8874920209072883</v>
      </c>
    </row>
    <row r="14" spans="1:4" x14ac:dyDescent="0.35">
      <c r="A14">
        <v>13</v>
      </c>
      <c r="B14">
        <v>83.115933901366731</v>
      </c>
      <c r="C14">
        <v>8.1159339013667307</v>
      </c>
      <c r="D14">
        <v>0</v>
      </c>
    </row>
    <row r="15" spans="1:4" x14ac:dyDescent="0.35">
      <c r="A15">
        <v>14</v>
      </c>
      <c r="B15">
        <v>79.854579370997925</v>
      </c>
      <c r="C15">
        <v>4.854579370997925</v>
      </c>
      <c r="D15">
        <v>0</v>
      </c>
    </row>
    <row r="16" spans="1:4" x14ac:dyDescent="0.35">
      <c r="A16">
        <v>15</v>
      </c>
      <c r="B16">
        <v>68.094416498909482</v>
      </c>
      <c r="C16">
        <v>0</v>
      </c>
      <c r="D16">
        <v>6.9055835010905184</v>
      </c>
    </row>
    <row r="17" spans="1:4" x14ac:dyDescent="0.35">
      <c r="A17">
        <v>16</v>
      </c>
      <c r="B17">
        <v>91.495370221701265</v>
      </c>
      <c r="C17">
        <v>16.495370221701265</v>
      </c>
      <c r="D17">
        <v>0</v>
      </c>
    </row>
    <row r="18" spans="1:4" x14ac:dyDescent="0.35">
      <c r="A18">
        <v>17</v>
      </c>
      <c r="B18">
        <v>83.598559594603927</v>
      </c>
      <c r="C18">
        <v>8.5985595946039268</v>
      </c>
      <c r="D18">
        <v>0</v>
      </c>
    </row>
    <row r="19" spans="1:4" x14ac:dyDescent="0.35">
      <c r="A19">
        <v>18</v>
      </c>
      <c r="B19">
        <v>56.979410285009699</v>
      </c>
      <c r="C19">
        <v>0</v>
      </c>
      <c r="D19">
        <v>18.020589714990301</v>
      </c>
    </row>
    <row r="20" spans="1:4" x14ac:dyDescent="0.35">
      <c r="A20">
        <v>19</v>
      </c>
      <c r="B20">
        <v>89.793508655862894</v>
      </c>
      <c r="C20">
        <v>14.793508655862894</v>
      </c>
      <c r="D20">
        <v>0</v>
      </c>
    </row>
    <row r="21" spans="1:4" x14ac:dyDescent="0.35">
      <c r="A21">
        <v>20</v>
      </c>
      <c r="B21">
        <v>67.852707775170813</v>
      </c>
      <c r="C21">
        <v>0</v>
      </c>
      <c r="D21">
        <v>7.1472922248291866</v>
      </c>
    </row>
    <row r="22" spans="1:4" x14ac:dyDescent="0.35">
      <c r="A22">
        <v>21</v>
      </c>
      <c r="B22">
        <v>71.889385989159123</v>
      </c>
      <c r="C22">
        <v>0</v>
      </c>
      <c r="D22">
        <v>3.1106140108408766</v>
      </c>
    </row>
    <row r="23" spans="1:4" x14ac:dyDescent="0.35">
      <c r="A23">
        <v>22</v>
      </c>
      <c r="B23">
        <v>78.973688202727388</v>
      </c>
      <c r="C23">
        <v>3.9736882027273879</v>
      </c>
      <c r="D23">
        <v>0</v>
      </c>
    </row>
    <row r="24" spans="1:4" x14ac:dyDescent="0.35">
      <c r="A24">
        <v>23</v>
      </c>
      <c r="B24">
        <v>56.782145512754894</v>
      </c>
      <c r="C24">
        <v>0</v>
      </c>
      <c r="D24">
        <v>18.217854487245106</v>
      </c>
    </row>
    <row r="25" spans="1:4" x14ac:dyDescent="0.35">
      <c r="A25">
        <v>24</v>
      </c>
      <c r="B25">
        <v>73.647803965834441</v>
      </c>
      <c r="C25">
        <v>0</v>
      </c>
      <c r="D25">
        <v>1.3521960341655586</v>
      </c>
    </row>
    <row r="26" spans="1:4" x14ac:dyDescent="0.35">
      <c r="A26">
        <v>25</v>
      </c>
      <c r="B26">
        <v>70.476008333294985</v>
      </c>
      <c r="C26">
        <v>0</v>
      </c>
      <c r="D26">
        <v>4.5239916667050153</v>
      </c>
    </row>
    <row r="27" spans="1:4" x14ac:dyDescent="0.35">
      <c r="A27">
        <v>26</v>
      </c>
      <c r="B27">
        <v>66.135196886641111</v>
      </c>
      <c r="C27">
        <v>0</v>
      </c>
      <c r="D27">
        <v>8.8648031133588887</v>
      </c>
    </row>
    <row r="28" spans="1:4" x14ac:dyDescent="0.35">
      <c r="A28">
        <v>27</v>
      </c>
      <c r="B28">
        <v>74.469056357336214</v>
      </c>
      <c r="C28">
        <v>0</v>
      </c>
      <c r="D28">
        <v>0.53094364266378591</v>
      </c>
    </row>
    <row r="29" spans="1:4" x14ac:dyDescent="0.35">
      <c r="A29">
        <v>28</v>
      </c>
      <c r="B29">
        <v>75.174110765336977</v>
      </c>
      <c r="C29">
        <v>0.17411076533697667</v>
      </c>
      <c r="D29">
        <v>0</v>
      </c>
    </row>
    <row r="30" spans="1:4" x14ac:dyDescent="0.35">
      <c r="A30">
        <v>29</v>
      </c>
      <c r="B30">
        <v>65.191339175467789</v>
      </c>
      <c r="C30">
        <v>0</v>
      </c>
      <c r="D30">
        <v>9.8086608245322111</v>
      </c>
    </row>
    <row r="31" spans="1:4" x14ac:dyDescent="0.35">
      <c r="A31">
        <v>30</v>
      </c>
      <c r="B31">
        <v>65.623580750923523</v>
      </c>
      <c r="C31">
        <v>0</v>
      </c>
      <c r="D31">
        <v>9.3764192490764771</v>
      </c>
    </row>
    <row r="32" spans="1:4" x14ac:dyDescent="0.35">
      <c r="A32">
        <v>31</v>
      </c>
      <c r="B32">
        <v>81.506325045041606</v>
      </c>
      <c r="C32">
        <v>6.5063250450416064</v>
      </c>
      <c r="D32">
        <v>0</v>
      </c>
    </row>
    <row r="33" spans="1:4" x14ac:dyDescent="0.35">
      <c r="A33">
        <v>32</v>
      </c>
      <c r="B33">
        <v>81.273113530074241</v>
      </c>
      <c r="C33">
        <v>6.2731135300742409</v>
      </c>
      <c r="D33">
        <v>0</v>
      </c>
    </row>
    <row r="34" spans="1:4" x14ac:dyDescent="0.35">
      <c r="A34">
        <v>33</v>
      </c>
      <c r="B34">
        <v>73.559846502461994</v>
      </c>
      <c r="C34">
        <v>0</v>
      </c>
      <c r="D34">
        <v>1.4401534975380059</v>
      </c>
    </row>
    <row r="35" spans="1:4" x14ac:dyDescent="0.35">
      <c r="A35">
        <v>34</v>
      </c>
      <c r="B35">
        <v>97.157053879308137</v>
      </c>
      <c r="C35">
        <v>22.157053879308137</v>
      </c>
      <c r="D35">
        <v>0</v>
      </c>
    </row>
    <row r="36" spans="1:4" x14ac:dyDescent="0.35">
      <c r="A36">
        <v>35</v>
      </c>
      <c r="B36">
        <v>86.151357321218939</v>
      </c>
      <c r="C36">
        <v>11.151357321218939</v>
      </c>
      <c r="D36">
        <v>0</v>
      </c>
    </row>
    <row r="37" spans="1:4" x14ac:dyDescent="0.35">
      <c r="A37">
        <v>36</v>
      </c>
      <c r="B37">
        <v>64.120743339730993</v>
      </c>
      <c r="C37">
        <v>0</v>
      </c>
      <c r="D37">
        <v>10.879256660269007</v>
      </c>
    </row>
    <row r="38" spans="1:4" x14ac:dyDescent="0.35">
      <c r="A38">
        <v>37</v>
      </c>
      <c r="B38">
        <v>76.574209203934188</v>
      </c>
      <c r="C38">
        <v>1.5742092039341884</v>
      </c>
      <c r="D38">
        <v>0</v>
      </c>
    </row>
    <row r="39" spans="1:4" x14ac:dyDescent="0.35">
      <c r="A39">
        <v>38</v>
      </c>
      <c r="B39">
        <v>95.177479261182299</v>
      </c>
      <c r="C39">
        <v>20.177479261182299</v>
      </c>
      <c r="D39">
        <v>0</v>
      </c>
    </row>
    <row r="40" spans="1:4" x14ac:dyDescent="0.35">
      <c r="A40">
        <v>39</v>
      </c>
      <c r="B40">
        <v>64.62412679784984</v>
      </c>
      <c r="C40">
        <v>0</v>
      </c>
      <c r="D40">
        <v>10.37587320215016</v>
      </c>
    </row>
    <row r="41" spans="1:4" x14ac:dyDescent="0.35">
      <c r="A41">
        <v>40</v>
      </c>
      <c r="B41">
        <v>72.119025280079896</v>
      </c>
      <c r="C41">
        <v>0</v>
      </c>
      <c r="D41">
        <v>2.8809747199201041</v>
      </c>
    </row>
    <row r="42" spans="1:4" x14ac:dyDescent="0.35">
      <c r="A42">
        <v>41</v>
      </c>
      <c r="B42">
        <v>59.785016019281528</v>
      </c>
      <c r="C42">
        <v>0</v>
      </c>
      <c r="D42">
        <v>15.214983980718472</v>
      </c>
    </row>
    <row r="43" spans="1:4" x14ac:dyDescent="0.35">
      <c r="A43">
        <v>42</v>
      </c>
      <c r="B43">
        <v>112.5860694302046</v>
      </c>
      <c r="C43">
        <v>37.586069430204603</v>
      </c>
      <c r="D43">
        <v>0</v>
      </c>
    </row>
    <row r="44" spans="1:4" x14ac:dyDescent="0.35">
      <c r="A44">
        <v>43</v>
      </c>
      <c r="B44">
        <v>76.00048517965989</v>
      </c>
      <c r="C44">
        <v>1.0004851796598899</v>
      </c>
      <c r="D44">
        <v>0</v>
      </c>
    </row>
    <row r="45" spans="1:4" x14ac:dyDescent="0.35">
      <c r="A45">
        <v>44</v>
      </c>
      <c r="B45">
        <v>52.621170060022273</v>
      </c>
      <c r="C45">
        <v>0</v>
      </c>
      <c r="D45">
        <v>22.378829939977727</v>
      </c>
    </row>
    <row r="46" spans="1:4" x14ac:dyDescent="0.35">
      <c r="A46">
        <v>45</v>
      </c>
      <c r="B46">
        <v>73.189650238499382</v>
      </c>
      <c r="C46">
        <v>0</v>
      </c>
      <c r="D46">
        <v>1.8103497615006177</v>
      </c>
    </row>
    <row r="47" spans="1:4" x14ac:dyDescent="0.35">
      <c r="A47">
        <v>46</v>
      </c>
      <c r="B47">
        <v>59.489333099431931</v>
      </c>
      <c r="C47">
        <v>0</v>
      </c>
      <c r="D47">
        <v>15.510666900568069</v>
      </c>
    </row>
    <row r="48" spans="1:4" x14ac:dyDescent="0.35">
      <c r="A48">
        <v>47</v>
      </c>
      <c r="B48">
        <v>59.629816691425169</v>
      </c>
      <c r="C48">
        <v>0</v>
      </c>
      <c r="D48">
        <v>15.370183308574831</v>
      </c>
    </row>
    <row r="49" spans="1:4" x14ac:dyDescent="0.35">
      <c r="A49">
        <v>48</v>
      </c>
      <c r="B49">
        <v>80.187837138390535</v>
      </c>
      <c r="C49">
        <v>5.1878371383905346</v>
      </c>
      <c r="D49">
        <v>0</v>
      </c>
    </row>
    <row r="50" spans="1:4" x14ac:dyDescent="0.35">
      <c r="A50">
        <v>49</v>
      </c>
      <c r="B50">
        <v>65.764417638795251</v>
      </c>
      <c r="C50">
        <v>0</v>
      </c>
      <c r="D50">
        <v>9.2355823612047487</v>
      </c>
    </row>
    <row r="51" spans="1:4" x14ac:dyDescent="0.35">
      <c r="A51">
        <v>50</v>
      </c>
      <c r="B51">
        <v>56.170928096542177</v>
      </c>
      <c r="C51">
        <v>0</v>
      </c>
      <c r="D51">
        <v>18.829071903457823</v>
      </c>
    </row>
    <row r="52" spans="1:4" x14ac:dyDescent="0.35">
      <c r="A52">
        <v>51</v>
      </c>
      <c r="B52">
        <v>66.070802936013251</v>
      </c>
      <c r="C52">
        <v>0</v>
      </c>
      <c r="D52">
        <v>8.9291970639867486</v>
      </c>
    </row>
    <row r="53" spans="1:4" x14ac:dyDescent="0.35">
      <c r="A53">
        <v>52</v>
      </c>
      <c r="B53">
        <v>68.308706222327402</v>
      </c>
      <c r="C53">
        <v>0</v>
      </c>
      <c r="D53">
        <v>6.6912937776725983</v>
      </c>
    </row>
    <row r="54" spans="1:4" x14ac:dyDescent="0.35">
      <c r="A54">
        <v>53</v>
      </c>
      <c r="B54">
        <v>66.210472459668495</v>
      </c>
      <c r="C54">
        <v>0</v>
      </c>
      <c r="D54">
        <v>8.7895275403315054</v>
      </c>
    </row>
    <row r="55" spans="1:4" x14ac:dyDescent="0.35">
      <c r="A55">
        <v>54</v>
      </c>
      <c r="B55">
        <v>89.674448229582893</v>
      </c>
      <c r="C55">
        <v>14.674448229582893</v>
      </c>
      <c r="D55">
        <v>0</v>
      </c>
    </row>
    <row r="56" spans="1:4" x14ac:dyDescent="0.35">
      <c r="A56">
        <v>55</v>
      </c>
      <c r="B56">
        <v>95.129501465775817</v>
      </c>
      <c r="C56">
        <v>20.129501465775817</v>
      </c>
      <c r="D56">
        <v>0</v>
      </c>
    </row>
    <row r="57" spans="1:4" x14ac:dyDescent="0.35">
      <c r="A57">
        <v>56</v>
      </c>
      <c r="B57">
        <v>68.795678054839996</v>
      </c>
      <c r="C57">
        <v>0</v>
      </c>
      <c r="D57">
        <v>6.2043219451600038</v>
      </c>
    </row>
    <row r="58" spans="1:4" x14ac:dyDescent="0.35">
      <c r="A58">
        <v>57</v>
      </c>
      <c r="B58">
        <v>65.594351092733007</v>
      </c>
      <c r="C58">
        <v>0</v>
      </c>
      <c r="D58">
        <v>9.4056489072669933</v>
      </c>
    </row>
    <row r="59" spans="1:4" x14ac:dyDescent="0.35">
      <c r="A59">
        <v>58</v>
      </c>
      <c r="B59">
        <v>61.958516216636966</v>
      </c>
      <c r="C59">
        <v>0</v>
      </c>
      <c r="D59">
        <v>13.041483783363034</v>
      </c>
    </row>
    <row r="60" spans="1:4" x14ac:dyDescent="0.35">
      <c r="A60">
        <v>59</v>
      </c>
      <c r="B60">
        <v>62.043414168274744</v>
      </c>
      <c r="C60">
        <v>0</v>
      </c>
      <c r="D60">
        <v>12.956585831725256</v>
      </c>
    </row>
    <row r="61" spans="1:4" x14ac:dyDescent="0.35">
      <c r="A61">
        <v>60</v>
      </c>
      <c r="B61">
        <v>75.138928335699319</v>
      </c>
      <c r="C61">
        <v>0.13892833569931895</v>
      </c>
      <c r="D61">
        <v>0</v>
      </c>
    </row>
    <row r="62" spans="1:4" x14ac:dyDescent="0.35">
      <c r="A62">
        <v>61</v>
      </c>
      <c r="B62">
        <v>69.013505466473049</v>
      </c>
      <c r="C62">
        <v>0</v>
      </c>
      <c r="D62">
        <v>5.986494533526951</v>
      </c>
    </row>
    <row r="63" spans="1:4" x14ac:dyDescent="0.35">
      <c r="A63">
        <v>62</v>
      </c>
      <c r="B63">
        <v>69.080864751392838</v>
      </c>
      <c r="C63">
        <v>0</v>
      </c>
      <c r="D63">
        <v>5.9191352486071622</v>
      </c>
    </row>
    <row r="64" spans="1:4" x14ac:dyDescent="0.35">
      <c r="A64">
        <v>63</v>
      </c>
      <c r="B64">
        <v>77.126225523480144</v>
      </c>
      <c r="C64">
        <v>2.1262255234801444</v>
      </c>
      <c r="D64">
        <v>0</v>
      </c>
    </row>
    <row r="65" spans="1:4" x14ac:dyDescent="0.35">
      <c r="A65">
        <v>64</v>
      </c>
      <c r="B65">
        <v>66.878074820633174</v>
      </c>
      <c r="C65">
        <v>0</v>
      </c>
      <c r="D65">
        <v>8.1219251793668263</v>
      </c>
    </row>
    <row r="66" spans="1:4" x14ac:dyDescent="0.35">
      <c r="A66">
        <v>65</v>
      </c>
      <c r="B66">
        <v>74.760436578100126</v>
      </c>
      <c r="C66">
        <v>0</v>
      </c>
      <c r="D66">
        <v>0.23956342189987367</v>
      </c>
    </row>
    <row r="67" spans="1:4" x14ac:dyDescent="0.35">
      <c r="A67">
        <v>66</v>
      </c>
      <c r="B67">
        <v>63.529819685548297</v>
      </c>
      <c r="C67">
        <v>0</v>
      </c>
      <c r="D67">
        <v>11.470180314451703</v>
      </c>
    </row>
    <row r="68" spans="1:4" x14ac:dyDescent="0.35">
      <c r="A68">
        <v>67</v>
      </c>
      <c r="B68">
        <v>62.837420910530398</v>
      </c>
      <c r="C68">
        <v>0</v>
      </c>
      <c r="D68">
        <v>12.162579089469602</v>
      </c>
    </row>
    <row r="69" spans="1:4" x14ac:dyDescent="0.35">
      <c r="A69">
        <v>68</v>
      </c>
      <c r="B69">
        <v>73.405582694746897</v>
      </c>
      <c r="C69">
        <v>0</v>
      </c>
      <c r="D69">
        <v>1.5944173052531028</v>
      </c>
    </row>
    <row r="70" spans="1:4" x14ac:dyDescent="0.35">
      <c r="A70">
        <v>69</v>
      </c>
      <c r="B70">
        <v>58.499892061298006</v>
      </c>
      <c r="C70">
        <v>0</v>
      </c>
      <c r="D70">
        <v>16.500107938701994</v>
      </c>
    </row>
    <row r="71" spans="1:4" x14ac:dyDescent="0.35">
      <c r="A71">
        <v>70</v>
      </c>
      <c r="B71">
        <v>70.208309484335032</v>
      </c>
      <c r="C71">
        <v>0</v>
      </c>
      <c r="D71">
        <v>4.7916905156649676</v>
      </c>
    </row>
    <row r="72" spans="1:4" x14ac:dyDescent="0.35">
      <c r="A72">
        <v>71</v>
      </c>
      <c r="B72">
        <v>85.766088767553754</v>
      </c>
      <c r="C72">
        <v>10.766088767553754</v>
      </c>
      <c r="D72">
        <v>0</v>
      </c>
    </row>
    <row r="73" spans="1:4" x14ac:dyDescent="0.35">
      <c r="A73">
        <v>72</v>
      </c>
      <c r="B73">
        <v>65.123055003931313</v>
      </c>
      <c r="C73">
        <v>0</v>
      </c>
      <c r="D73">
        <v>9.876944996068687</v>
      </c>
    </row>
    <row r="74" spans="1:4" x14ac:dyDescent="0.35">
      <c r="A74">
        <v>73</v>
      </c>
      <c r="B74">
        <v>79.650388333079206</v>
      </c>
      <c r="C74">
        <v>4.6503883330792064</v>
      </c>
      <c r="D74">
        <v>0</v>
      </c>
    </row>
    <row r="75" spans="1:4" x14ac:dyDescent="0.35">
      <c r="A75">
        <v>74</v>
      </c>
      <c r="B75">
        <v>68.230206648539593</v>
      </c>
      <c r="C75">
        <v>0</v>
      </c>
      <c r="D75">
        <v>6.7697933514604074</v>
      </c>
    </row>
    <row r="76" spans="1:4" x14ac:dyDescent="0.35">
      <c r="A76">
        <v>75</v>
      </c>
      <c r="B76">
        <v>65.905606517783582</v>
      </c>
      <c r="C76">
        <v>0</v>
      </c>
      <c r="D76">
        <v>9.0943934822164181</v>
      </c>
    </row>
    <row r="77" spans="1:4" x14ac:dyDescent="0.35">
      <c r="A77">
        <v>76</v>
      </c>
      <c r="B77">
        <v>86.811560299419625</v>
      </c>
      <c r="C77">
        <v>11.811560299419625</v>
      </c>
      <c r="D77">
        <v>0</v>
      </c>
    </row>
    <row r="78" spans="1:4" x14ac:dyDescent="0.35">
      <c r="A78">
        <v>77</v>
      </c>
      <c r="B78">
        <v>74.720280699447429</v>
      </c>
      <c r="C78">
        <v>0</v>
      </c>
      <c r="D78">
        <v>0.27971930055257133</v>
      </c>
    </row>
    <row r="79" spans="1:4" x14ac:dyDescent="0.35">
      <c r="A79">
        <v>78</v>
      </c>
      <c r="B79">
        <v>74.606055234660019</v>
      </c>
      <c r="C79">
        <v>0</v>
      </c>
      <c r="D79">
        <v>0.39394476533998102</v>
      </c>
    </row>
    <row r="80" spans="1:4" x14ac:dyDescent="0.35">
      <c r="A80">
        <v>79</v>
      </c>
      <c r="B80">
        <v>69.472584964266503</v>
      </c>
      <c r="C80">
        <v>0</v>
      </c>
      <c r="D80">
        <v>5.5274150357334975</v>
      </c>
    </row>
    <row r="81" spans="1:4" x14ac:dyDescent="0.35">
      <c r="A81">
        <v>80</v>
      </c>
      <c r="B81">
        <v>59.389416888232773</v>
      </c>
      <c r="C81">
        <v>0</v>
      </c>
      <c r="D81">
        <v>15.610583111767227</v>
      </c>
    </row>
    <row r="82" spans="1:4" x14ac:dyDescent="0.35">
      <c r="A82">
        <v>81</v>
      </c>
      <c r="B82">
        <v>72.819513302467215</v>
      </c>
      <c r="C82">
        <v>0</v>
      </c>
      <c r="D82">
        <v>2.1804866975327855</v>
      </c>
    </row>
    <row r="83" spans="1:4" x14ac:dyDescent="0.35">
      <c r="A83">
        <v>82</v>
      </c>
      <c r="B83">
        <v>76.554804397335431</v>
      </c>
      <c r="C83">
        <v>1.5548043973354311</v>
      </c>
      <c r="D83">
        <v>0</v>
      </c>
    </row>
    <row r="84" spans="1:4" x14ac:dyDescent="0.35">
      <c r="A84">
        <v>83</v>
      </c>
      <c r="B84">
        <v>86.361526118200516</v>
      </c>
      <c r="C84">
        <v>11.361526118200516</v>
      </c>
      <c r="D84">
        <v>0</v>
      </c>
    </row>
    <row r="85" spans="1:4" x14ac:dyDescent="0.35">
      <c r="A85">
        <v>84</v>
      </c>
      <c r="B85">
        <v>81.736305140725861</v>
      </c>
      <c r="C85">
        <v>6.736305140725861</v>
      </c>
      <c r="D85">
        <v>0</v>
      </c>
    </row>
    <row r="86" spans="1:4" x14ac:dyDescent="0.35">
      <c r="A86">
        <v>85</v>
      </c>
      <c r="B86">
        <v>53.742377183230225</v>
      </c>
      <c r="C86">
        <v>0</v>
      </c>
      <c r="D86">
        <v>21.257622816769775</v>
      </c>
    </row>
    <row r="87" spans="1:4" x14ac:dyDescent="0.35">
      <c r="A87">
        <v>86</v>
      </c>
      <c r="B87">
        <v>72.362255892696126</v>
      </c>
      <c r="C87">
        <v>0</v>
      </c>
      <c r="D87">
        <v>2.6377441073038739</v>
      </c>
    </row>
    <row r="88" spans="1:4" x14ac:dyDescent="0.35">
      <c r="A88">
        <v>87</v>
      </c>
      <c r="B88">
        <v>86.552967041883036</v>
      </c>
      <c r="C88">
        <v>11.552967041883036</v>
      </c>
      <c r="D88">
        <v>0</v>
      </c>
    </row>
    <row r="89" spans="1:4" x14ac:dyDescent="0.35">
      <c r="A89">
        <v>88</v>
      </c>
      <c r="B89">
        <v>69.517592998582501</v>
      </c>
      <c r="C89">
        <v>0</v>
      </c>
      <c r="D89">
        <v>5.4824070014174993</v>
      </c>
    </row>
    <row r="90" spans="1:4" x14ac:dyDescent="0.35">
      <c r="A90">
        <v>89</v>
      </c>
      <c r="B90">
        <v>76.053362087875897</v>
      </c>
      <c r="C90">
        <v>1.0533620878758967</v>
      </c>
      <c r="D90">
        <v>0</v>
      </c>
    </row>
    <row r="91" spans="1:4" x14ac:dyDescent="0.35">
      <c r="A91">
        <v>90</v>
      </c>
      <c r="B91">
        <v>71.322076541721017</v>
      </c>
      <c r="C91">
        <v>0</v>
      </c>
      <c r="D91">
        <v>3.6779234582789826</v>
      </c>
    </row>
    <row r="92" spans="1:4" x14ac:dyDescent="0.35">
      <c r="A92">
        <v>91</v>
      </c>
      <c r="B92">
        <v>71.606964366968697</v>
      </c>
      <c r="C92">
        <v>0</v>
      </c>
      <c r="D92">
        <v>3.3930356330313032</v>
      </c>
    </row>
    <row r="93" spans="1:4" x14ac:dyDescent="0.35">
      <c r="A93">
        <v>92</v>
      </c>
      <c r="B93">
        <v>70.333238606934927</v>
      </c>
      <c r="C93">
        <v>0</v>
      </c>
      <c r="D93">
        <v>4.6667613930650731</v>
      </c>
    </row>
    <row r="94" spans="1:4" x14ac:dyDescent="0.35">
      <c r="A94">
        <v>93</v>
      </c>
      <c r="B94">
        <v>67.583386409342339</v>
      </c>
      <c r="C94">
        <v>0</v>
      </c>
      <c r="D94">
        <v>7.4166135906576613</v>
      </c>
    </row>
    <row r="95" spans="1:4" x14ac:dyDescent="0.35">
      <c r="A95">
        <v>94</v>
      </c>
      <c r="B95">
        <v>68.882372307815132</v>
      </c>
      <c r="C95">
        <v>0</v>
      </c>
      <c r="D95">
        <v>6.1176276921848682</v>
      </c>
    </row>
    <row r="96" spans="1:4" x14ac:dyDescent="0.35">
      <c r="A96">
        <v>95</v>
      </c>
      <c r="B96">
        <v>65.357549023785623</v>
      </c>
      <c r="C96">
        <v>0</v>
      </c>
      <c r="D96">
        <v>9.6424509762143771</v>
      </c>
    </row>
    <row r="97" spans="1:4" x14ac:dyDescent="0.35">
      <c r="A97">
        <v>96</v>
      </c>
      <c r="B97">
        <v>56.933593329717837</v>
      </c>
      <c r="C97">
        <v>0</v>
      </c>
      <c r="D97">
        <v>18.066406670282163</v>
      </c>
    </row>
    <row r="98" spans="1:4" x14ac:dyDescent="0.35">
      <c r="A98">
        <v>97</v>
      </c>
      <c r="B98">
        <v>64.621624099175463</v>
      </c>
      <c r="C98">
        <v>0</v>
      </c>
      <c r="D98">
        <v>10.378375900824537</v>
      </c>
    </row>
    <row r="99" spans="1:4" x14ac:dyDescent="0.35">
      <c r="A99">
        <v>98</v>
      </c>
      <c r="B99">
        <v>94.926361990082427</v>
      </c>
      <c r="C99">
        <v>19.926361990082427</v>
      </c>
      <c r="D99">
        <v>0</v>
      </c>
    </row>
    <row r="100" spans="1:4" x14ac:dyDescent="0.35">
      <c r="A100">
        <v>99</v>
      </c>
      <c r="B100">
        <v>57.301834671974618</v>
      </c>
      <c r="C100">
        <v>0</v>
      </c>
      <c r="D100">
        <v>17.698165328025382</v>
      </c>
    </row>
    <row r="101" spans="1:4" x14ac:dyDescent="0.35">
      <c r="A101">
        <v>100</v>
      </c>
      <c r="B101">
        <v>68.517363608830706</v>
      </c>
      <c r="C101">
        <v>0</v>
      </c>
      <c r="D101">
        <v>6.4826363911692937</v>
      </c>
    </row>
    <row r="102" spans="1:4" x14ac:dyDescent="0.35">
      <c r="A102">
        <v>101</v>
      </c>
      <c r="B102">
        <v>67.877568939844636</v>
      </c>
      <c r="C102">
        <v>0</v>
      </c>
      <c r="D102">
        <v>7.122431060155364</v>
      </c>
    </row>
    <row r="103" spans="1:4" x14ac:dyDescent="0.35">
      <c r="A103">
        <v>102</v>
      </c>
      <c r="B103">
        <v>71.006362939733691</v>
      </c>
      <c r="C103">
        <v>0</v>
      </c>
      <c r="D103">
        <v>3.9936370602663089</v>
      </c>
    </row>
    <row r="104" spans="1:4" x14ac:dyDescent="0.35">
      <c r="A104">
        <v>103</v>
      </c>
      <c r="B104">
        <v>61.785905126506421</v>
      </c>
      <c r="C104">
        <v>0</v>
      </c>
      <c r="D104">
        <v>13.214094873493579</v>
      </c>
    </row>
    <row r="105" spans="1:4" x14ac:dyDescent="0.35">
      <c r="A105">
        <v>104</v>
      </c>
      <c r="B105">
        <v>70.619880521093307</v>
      </c>
      <c r="C105">
        <v>0</v>
      </c>
      <c r="D105">
        <v>4.3801194789066926</v>
      </c>
    </row>
    <row r="106" spans="1:4" x14ac:dyDescent="0.35">
      <c r="A106">
        <v>105</v>
      </c>
      <c r="B106">
        <v>65.006990262759984</v>
      </c>
      <c r="C106">
        <v>0</v>
      </c>
      <c r="D106">
        <v>9.9930097372400155</v>
      </c>
    </row>
    <row r="107" spans="1:4" x14ac:dyDescent="0.35">
      <c r="A107">
        <v>106</v>
      </c>
      <c r="B107">
        <v>74.636914676584468</v>
      </c>
      <c r="C107">
        <v>0</v>
      </c>
      <c r="D107">
        <v>0.36308532341553246</v>
      </c>
    </row>
    <row r="108" spans="1:4" x14ac:dyDescent="0.35">
      <c r="A108">
        <v>107</v>
      </c>
      <c r="B108">
        <v>72.329092192177484</v>
      </c>
      <c r="C108">
        <v>0</v>
      </c>
      <c r="D108">
        <v>2.6709078078225161</v>
      </c>
    </row>
    <row r="109" spans="1:4" x14ac:dyDescent="0.35">
      <c r="A109">
        <v>108</v>
      </c>
      <c r="B109">
        <v>61.80916454761411</v>
      </c>
      <c r="C109">
        <v>0</v>
      </c>
      <c r="D109">
        <v>13.19083545238589</v>
      </c>
    </row>
    <row r="110" spans="1:4" x14ac:dyDescent="0.35">
      <c r="A110">
        <v>109</v>
      </c>
      <c r="B110">
        <v>88.563361220864763</v>
      </c>
      <c r="C110">
        <v>13.563361220864763</v>
      </c>
      <c r="D110">
        <v>0</v>
      </c>
    </row>
    <row r="111" spans="1:4" x14ac:dyDescent="0.35">
      <c r="A111">
        <v>110</v>
      </c>
      <c r="B111">
        <v>75.365575857032823</v>
      </c>
      <c r="C111">
        <v>0.36557585703282314</v>
      </c>
      <c r="D111">
        <v>0</v>
      </c>
    </row>
    <row r="112" spans="1:4" x14ac:dyDescent="0.35">
      <c r="A112">
        <v>111</v>
      </c>
      <c r="B112">
        <v>71.413673342565687</v>
      </c>
      <c r="C112">
        <v>0</v>
      </c>
      <c r="D112">
        <v>3.5863266574343129</v>
      </c>
    </row>
    <row r="113" spans="1:4" x14ac:dyDescent="0.35">
      <c r="A113">
        <v>112</v>
      </c>
      <c r="B113">
        <v>68.521892131929746</v>
      </c>
      <c r="C113">
        <v>0</v>
      </c>
      <c r="D113">
        <v>6.4781078680702535</v>
      </c>
    </row>
    <row r="114" spans="1:4" x14ac:dyDescent="0.35">
      <c r="A114">
        <v>113</v>
      </c>
      <c r="B114">
        <v>59.831033700091986</v>
      </c>
      <c r="C114">
        <v>0</v>
      </c>
      <c r="D114">
        <v>15.168966299908014</v>
      </c>
    </row>
    <row r="115" spans="1:4" x14ac:dyDescent="0.35">
      <c r="A115">
        <v>114</v>
      </c>
      <c r="B115">
        <v>79.603706613672117</v>
      </c>
      <c r="C115">
        <v>4.6037066136721165</v>
      </c>
      <c r="D115">
        <v>0</v>
      </c>
    </row>
    <row r="116" spans="1:4" x14ac:dyDescent="0.35">
      <c r="A116">
        <v>115</v>
      </c>
      <c r="B116">
        <v>70.249940889400833</v>
      </c>
      <c r="C116">
        <v>0</v>
      </c>
      <c r="D116">
        <v>4.7500591105991674</v>
      </c>
    </row>
    <row r="117" spans="1:4" x14ac:dyDescent="0.35">
      <c r="A117">
        <v>116</v>
      </c>
      <c r="B117">
        <v>78.494119249054179</v>
      </c>
      <c r="C117">
        <v>3.4941192490541795</v>
      </c>
      <c r="D117">
        <v>0</v>
      </c>
    </row>
    <row r="118" spans="1:4" x14ac:dyDescent="0.35">
      <c r="A118">
        <v>117</v>
      </c>
      <c r="B118">
        <v>73.745190652009327</v>
      </c>
      <c r="C118">
        <v>0</v>
      </c>
      <c r="D118">
        <v>1.2548093479906726</v>
      </c>
    </row>
    <row r="119" spans="1:4" x14ac:dyDescent="0.35">
      <c r="A119">
        <v>118</v>
      </c>
      <c r="B119">
        <v>81.639991320781931</v>
      </c>
      <c r="C119">
        <v>6.639991320781931</v>
      </c>
      <c r="D119">
        <v>0</v>
      </c>
    </row>
    <row r="120" spans="1:4" x14ac:dyDescent="0.35">
      <c r="A120">
        <v>119</v>
      </c>
      <c r="B120">
        <v>53.156041720373402</v>
      </c>
      <c r="C120">
        <v>0</v>
      </c>
      <c r="D120">
        <v>21.843958279626598</v>
      </c>
    </row>
    <row r="121" spans="1:4" x14ac:dyDescent="0.35">
      <c r="A121">
        <v>120</v>
      </c>
      <c r="B121">
        <v>63.617340226950986</v>
      </c>
      <c r="C121">
        <v>0</v>
      </c>
      <c r="D121">
        <v>11.382659773049014</v>
      </c>
    </row>
    <row r="122" spans="1:4" x14ac:dyDescent="0.35">
      <c r="A122">
        <v>121</v>
      </c>
      <c r="B122">
        <v>58.116322626075196</v>
      </c>
      <c r="C122">
        <v>0</v>
      </c>
      <c r="D122">
        <v>16.883677373924804</v>
      </c>
    </row>
    <row r="123" spans="1:4" x14ac:dyDescent="0.35">
      <c r="A123">
        <v>122</v>
      </c>
      <c r="B123">
        <v>59.742810567295635</v>
      </c>
      <c r="C123">
        <v>0</v>
      </c>
      <c r="D123">
        <v>15.257189432704365</v>
      </c>
    </row>
    <row r="124" spans="1:4" x14ac:dyDescent="0.35">
      <c r="A124">
        <v>123</v>
      </c>
      <c r="B124">
        <v>67.021226863064399</v>
      </c>
      <c r="C124">
        <v>0</v>
      </c>
      <c r="D124">
        <v>7.978773136935601</v>
      </c>
    </row>
    <row r="125" spans="1:4" x14ac:dyDescent="0.35">
      <c r="A125">
        <v>124</v>
      </c>
      <c r="B125">
        <v>60.730593724421354</v>
      </c>
      <c r="C125">
        <v>0</v>
      </c>
      <c r="D125">
        <v>14.269406275578646</v>
      </c>
    </row>
    <row r="126" spans="1:4" x14ac:dyDescent="0.35">
      <c r="A126">
        <v>125</v>
      </c>
      <c r="B126">
        <v>43.5764226035785</v>
      </c>
      <c r="C126">
        <v>0</v>
      </c>
      <c r="D126">
        <v>31.4235773964215</v>
      </c>
    </row>
    <row r="127" spans="1:4" x14ac:dyDescent="0.35">
      <c r="A127">
        <v>126</v>
      </c>
      <c r="B127">
        <v>72.193764103233164</v>
      </c>
      <c r="C127">
        <v>0</v>
      </c>
      <c r="D127">
        <v>2.8062358967668359</v>
      </c>
    </row>
    <row r="128" spans="1:4" x14ac:dyDescent="0.35">
      <c r="A128">
        <v>127</v>
      </c>
      <c r="B128">
        <v>75.43933495208266</v>
      </c>
      <c r="C128">
        <v>0.43933495208266038</v>
      </c>
      <c r="D128">
        <v>0</v>
      </c>
    </row>
    <row r="129" spans="1:4" x14ac:dyDescent="0.35">
      <c r="A129">
        <v>128</v>
      </c>
      <c r="B129">
        <v>72.379058637268557</v>
      </c>
      <c r="C129">
        <v>0</v>
      </c>
      <c r="D129">
        <v>2.6209413627314433</v>
      </c>
    </row>
    <row r="130" spans="1:4" x14ac:dyDescent="0.35">
      <c r="A130">
        <v>129</v>
      </c>
      <c r="B130">
        <v>81.398497500134127</v>
      </c>
      <c r="C130">
        <v>6.3984975001341269</v>
      </c>
      <c r="D130">
        <v>0</v>
      </c>
    </row>
    <row r="131" spans="1:4" x14ac:dyDescent="0.35">
      <c r="A131">
        <v>130</v>
      </c>
      <c r="B131">
        <v>58.564503889377903</v>
      </c>
      <c r="C131">
        <v>0</v>
      </c>
      <c r="D131">
        <v>16.435496110622097</v>
      </c>
    </row>
    <row r="132" spans="1:4" x14ac:dyDescent="0.35">
      <c r="A132">
        <v>131</v>
      </c>
      <c r="B132">
        <v>63.031181403395408</v>
      </c>
      <c r="C132">
        <v>0</v>
      </c>
      <c r="D132">
        <v>11.968818596604592</v>
      </c>
    </row>
    <row r="133" spans="1:4" x14ac:dyDescent="0.35">
      <c r="A133">
        <v>132</v>
      </c>
      <c r="B133">
        <v>76.082246874613219</v>
      </c>
      <c r="C133">
        <v>1.0822468746132188</v>
      </c>
      <c r="D133">
        <v>0</v>
      </c>
    </row>
    <row r="134" spans="1:4" x14ac:dyDescent="0.35">
      <c r="A134">
        <v>133</v>
      </c>
      <c r="B134">
        <v>70.114471268297166</v>
      </c>
      <c r="C134">
        <v>0</v>
      </c>
      <c r="D134">
        <v>4.8855287317028342</v>
      </c>
    </row>
    <row r="135" spans="1:4" x14ac:dyDescent="0.35">
      <c r="A135">
        <v>134</v>
      </c>
      <c r="B135">
        <v>67.674246248886419</v>
      </c>
      <c r="C135">
        <v>0</v>
      </c>
      <c r="D135">
        <v>7.3257537511135808</v>
      </c>
    </row>
    <row r="136" spans="1:4" x14ac:dyDescent="0.35">
      <c r="A136">
        <v>135</v>
      </c>
      <c r="B136">
        <v>61.576689152840338</v>
      </c>
      <c r="C136">
        <v>0</v>
      </c>
      <c r="D136">
        <v>13.423310847159662</v>
      </c>
    </row>
    <row r="137" spans="1:4" x14ac:dyDescent="0.35">
      <c r="A137">
        <v>136</v>
      </c>
      <c r="B137">
        <v>76.862657158448727</v>
      </c>
      <c r="C137">
        <v>1.8626571584487266</v>
      </c>
      <c r="D137">
        <v>0</v>
      </c>
    </row>
    <row r="138" spans="1:4" x14ac:dyDescent="0.35">
      <c r="A138">
        <v>137</v>
      </c>
      <c r="B138">
        <v>87.621633429199349</v>
      </c>
      <c r="C138">
        <v>12.621633429199349</v>
      </c>
      <c r="D138">
        <v>0</v>
      </c>
    </row>
    <row r="139" spans="1:4" x14ac:dyDescent="0.35">
      <c r="A139">
        <v>138</v>
      </c>
      <c r="B139">
        <v>72.025537594523186</v>
      </c>
      <c r="C139">
        <v>0</v>
      </c>
      <c r="D139">
        <v>2.9744624054768138</v>
      </c>
    </row>
    <row r="140" spans="1:4" x14ac:dyDescent="0.35">
      <c r="A140">
        <v>139</v>
      </c>
      <c r="B140">
        <v>58.974259056351492</v>
      </c>
      <c r="C140">
        <v>0</v>
      </c>
      <c r="D140">
        <v>16.025740943648508</v>
      </c>
    </row>
    <row r="141" spans="1:4" x14ac:dyDescent="0.35">
      <c r="A141">
        <v>140</v>
      </c>
      <c r="B141">
        <v>78.636658327745309</v>
      </c>
      <c r="C141">
        <v>3.6366583277453088</v>
      </c>
      <c r="D141">
        <v>0</v>
      </c>
    </row>
    <row r="142" spans="1:4" x14ac:dyDescent="0.35">
      <c r="A142">
        <v>141</v>
      </c>
      <c r="B142">
        <v>68.807402674438549</v>
      </c>
      <c r="C142">
        <v>0</v>
      </c>
      <c r="D142">
        <v>6.1925973255614508</v>
      </c>
    </row>
    <row r="143" spans="1:4" x14ac:dyDescent="0.35">
      <c r="A143">
        <v>142</v>
      </c>
      <c r="B143">
        <v>70.305654133299029</v>
      </c>
      <c r="C143">
        <v>0</v>
      </c>
      <c r="D143">
        <v>4.6943458667009708</v>
      </c>
    </row>
    <row r="144" spans="1:4" x14ac:dyDescent="0.35">
      <c r="A144">
        <v>143</v>
      </c>
      <c r="B144">
        <v>71.063354275110299</v>
      </c>
      <c r="C144">
        <v>0</v>
      </c>
      <c r="D144">
        <v>3.9366457248897007</v>
      </c>
    </row>
    <row r="145" spans="1:4" x14ac:dyDescent="0.35">
      <c r="A145">
        <v>144</v>
      </c>
      <c r="B145">
        <v>63.531888797036437</v>
      </c>
      <c r="C145">
        <v>0</v>
      </c>
      <c r="D145">
        <v>11.468111202963563</v>
      </c>
    </row>
    <row r="146" spans="1:4" x14ac:dyDescent="0.35">
      <c r="A146">
        <v>145</v>
      </c>
      <c r="B146">
        <v>66.970217591894865</v>
      </c>
      <c r="C146">
        <v>0</v>
      </c>
      <c r="D146">
        <v>8.0297824081051346</v>
      </c>
    </row>
    <row r="147" spans="1:4" x14ac:dyDescent="0.35">
      <c r="A147">
        <v>146</v>
      </c>
      <c r="B147">
        <v>59.265178022355272</v>
      </c>
      <c r="C147">
        <v>0</v>
      </c>
      <c r="D147">
        <v>15.734821977644728</v>
      </c>
    </row>
    <row r="148" spans="1:4" x14ac:dyDescent="0.35">
      <c r="A148">
        <v>147</v>
      </c>
      <c r="B148">
        <v>73.576629161745188</v>
      </c>
      <c r="C148">
        <v>0</v>
      </c>
      <c r="D148">
        <v>1.4233708382548116</v>
      </c>
    </row>
    <row r="149" spans="1:4" x14ac:dyDescent="0.35">
      <c r="A149">
        <v>148</v>
      </c>
      <c r="B149">
        <v>62.290989428445158</v>
      </c>
      <c r="C149">
        <v>0</v>
      </c>
      <c r="D149">
        <v>12.709010571554842</v>
      </c>
    </row>
    <row r="150" spans="1:4" x14ac:dyDescent="0.35">
      <c r="A150">
        <v>149</v>
      </c>
      <c r="B150">
        <v>87.516232939149134</v>
      </c>
      <c r="C150">
        <v>12.516232939149134</v>
      </c>
      <c r="D150">
        <v>0</v>
      </c>
    </row>
    <row r="151" spans="1:4" x14ac:dyDescent="0.35">
      <c r="A151">
        <v>150</v>
      </c>
      <c r="B151">
        <v>59.387287362707312</v>
      </c>
      <c r="C151">
        <v>0</v>
      </c>
      <c r="D151">
        <v>15.612712637292688</v>
      </c>
    </row>
    <row r="152" spans="1:4" x14ac:dyDescent="0.35">
      <c r="A152">
        <v>151</v>
      </c>
      <c r="B152">
        <v>69.856624345851458</v>
      </c>
      <c r="C152">
        <v>0</v>
      </c>
      <c r="D152">
        <v>5.1433756541485423</v>
      </c>
    </row>
    <row r="153" spans="1:4" x14ac:dyDescent="0.35">
      <c r="A153">
        <v>152</v>
      </c>
      <c r="B153">
        <v>65.446945089005467</v>
      </c>
      <c r="C153">
        <v>0</v>
      </c>
      <c r="D153">
        <v>9.5530549109945326</v>
      </c>
    </row>
    <row r="154" spans="1:4" x14ac:dyDescent="0.35">
      <c r="A154">
        <v>153</v>
      </c>
      <c r="B154">
        <v>83.660554599345531</v>
      </c>
      <c r="C154">
        <v>8.6605545993455308</v>
      </c>
      <c r="D154">
        <v>0</v>
      </c>
    </row>
    <row r="155" spans="1:4" x14ac:dyDescent="0.35">
      <c r="A155">
        <v>154</v>
      </c>
      <c r="B155">
        <v>78.389266593945365</v>
      </c>
      <c r="C155">
        <v>3.389266593945365</v>
      </c>
      <c r="D155">
        <v>0</v>
      </c>
    </row>
    <row r="156" spans="1:4" x14ac:dyDescent="0.35">
      <c r="A156">
        <v>155</v>
      </c>
      <c r="B156">
        <v>65.446821076801569</v>
      </c>
      <c r="C156">
        <v>0</v>
      </c>
      <c r="D156">
        <v>9.5531789231984305</v>
      </c>
    </row>
    <row r="157" spans="1:4" x14ac:dyDescent="0.35">
      <c r="A157">
        <v>156</v>
      </c>
      <c r="B157">
        <v>75.925274095313767</v>
      </c>
      <c r="C157">
        <v>0.92527409531376748</v>
      </c>
      <c r="D157">
        <v>0</v>
      </c>
    </row>
    <row r="158" spans="1:4" x14ac:dyDescent="0.35">
      <c r="A158">
        <v>157</v>
      </c>
      <c r="B158">
        <v>64.988844405658739</v>
      </c>
      <c r="C158">
        <v>0</v>
      </c>
      <c r="D158">
        <v>10.011155594341261</v>
      </c>
    </row>
    <row r="159" spans="1:4" x14ac:dyDescent="0.35">
      <c r="A159">
        <v>158</v>
      </c>
      <c r="B159">
        <v>58.987343287159582</v>
      </c>
      <c r="C159">
        <v>0</v>
      </c>
      <c r="D159">
        <v>16.012656712840418</v>
      </c>
    </row>
    <row r="160" spans="1:4" x14ac:dyDescent="0.35">
      <c r="A160">
        <v>159</v>
      </c>
      <c r="B160">
        <v>54.776368991883245</v>
      </c>
      <c r="C160">
        <v>0</v>
      </c>
      <c r="D160">
        <v>20.223631008116755</v>
      </c>
    </row>
    <row r="161" spans="1:4" x14ac:dyDescent="0.35">
      <c r="A161">
        <v>160</v>
      </c>
      <c r="B161">
        <v>66.786732440614543</v>
      </c>
      <c r="C161">
        <v>0</v>
      </c>
      <c r="D161">
        <v>8.2132675593854572</v>
      </c>
    </row>
    <row r="162" spans="1:4" x14ac:dyDescent="0.35">
      <c r="A162">
        <v>161</v>
      </c>
      <c r="B162">
        <v>79.840859516368425</v>
      </c>
      <c r="C162">
        <v>4.8408595163684254</v>
      </c>
      <c r="D162">
        <v>0</v>
      </c>
    </row>
    <row r="163" spans="1:4" x14ac:dyDescent="0.35">
      <c r="A163">
        <v>162</v>
      </c>
      <c r="B163">
        <v>66.110795170970164</v>
      </c>
      <c r="C163">
        <v>0</v>
      </c>
      <c r="D163">
        <v>8.8892048290298362</v>
      </c>
    </row>
    <row r="164" spans="1:4" x14ac:dyDescent="0.35">
      <c r="A164">
        <v>163</v>
      </c>
      <c r="B164">
        <v>64.371027490278635</v>
      </c>
      <c r="C164">
        <v>0</v>
      </c>
      <c r="D164">
        <v>10.628972509721365</v>
      </c>
    </row>
    <row r="165" spans="1:4" x14ac:dyDescent="0.35">
      <c r="A165">
        <v>164</v>
      </c>
      <c r="B165">
        <v>70.770331375466071</v>
      </c>
      <c r="C165">
        <v>0</v>
      </c>
      <c r="D165">
        <v>4.2296686245339288</v>
      </c>
    </row>
    <row r="166" spans="1:4" x14ac:dyDescent="0.35">
      <c r="A166">
        <v>165</v>
      </c>
      <c r="B166">
        <v>64.931134419278649</v>
      </c>
      <c r="C166">
        <v>0</v>
      </c>
      <c r="D166">
        <v>10.068865580721351</v>
      </c>
    </row>
    <row r="167" spans="1:4" x14ac:dyDescent="0.35">
      <c r="A167">
        <v>166</v>
      </c>
      <c r="B167">
        <v>67.252349703151751</v>
      </c>
      <c r="C167">
        <v>0</v>
      </c>
      <c r="D167">
        <v>7.7476502968482492</v>
      </c>
    </row>
    <row r="168" spans="1:4" x14ac:dyDescent="0.35">
      <c r="A168">
        <v>167</v>
      </c>
      <c r="B168">
        <v>56.111536461137462</v>
      </c>
      <c r="C168">
        <v>0</v>
      </c>
      <c r="D168">
        <v>18.888463538862538</v>
      </c>
    </row>
    <row r="169" spans="1:4" x14ac:dyDescent="0.35">
      <c r="A169">
        <v>168</v>
      </c>
      <c r="B169">
        <v>70.819228997123048</v>
      </c>
      <c r="C169">
        <v>0</v>
      </c>
      <c r="D169">
        <v>4.180771002876952</v>
      </c>
    </row>
    <row r="170" spans="1:4" x14ac:dyDescent="0.35">
      <c r="A170">
        <v>169</v>
      </c>
      <c r="B170">
        <v>63.481442812122651</v>
      </c>
      <c r="C170">
        <v>0</v>
      </c>
      <c r="D170">
        <v>11.518557187877349</v>
      </c>
    </row>
    <row r="171" spans="1:4" x14ac:dyDescent="0.35">
      <c r="A171">
        <v>170</v>
      </c>
      <c r="B171">
        <v>83.218567253986279</v>
      </c>
      <c r="C171">
        <v>8.2185672539862793</v>
      </c>
      <c r="D171">
        <v>0</v>
      </c>
    </row>
    <row r="172" spans="1:4" x14ac:dyDescent="0.35">
      <c r="A172">
        <v>171</v>
      </c>
      <c r="B172">
        <v>73.545607641556032</v>
      </c>
      <c r="C172">
        <v>0</v>
      </c>
      <c r="D172">
        <v>1.4543923584439682</v>
      </c>
    </row>
    <row r="173" spans="1:4" x14ac:dyDescent="0.35">
      <c r="A173">
        <v>172</v>
      </c>
      <c r="B173">
        <v>78.536997650430052</v>
      </c>
      <c r="C173">
        <v>3.5369976504300524</v>
      </c>
      <c r="D173">
        <v>0</v>
      </c>
    </row>
    <row r="174" spans="1:4" x14ac:dyDescent="0.35">
      <c r="A174">
        <v>173</v>
      </c>
      <c r="B174">
        <v>87.540130286952049</v>
      </c>
      <c r="C174">
        <v>12.540130286952049</v>
      </c>
      <c r="D174">
        <v>0</v>
      </c>
    </row>
    <row r="175" spans="1:4" x14ac:dyDescent="0.35">
      <c r="A175">
        <v>174</v>
      </c>
      <c r="B175">
        <v>67.003589806462742</v>
      </c>
      <c r="C175">
        <v>0</v>
      </c>
      <c r="D175">
        <v>7.9964101935372582</v>
      </c>
    </row>
    <row r="176" spans="1:4" x14ac:dyDescent="0.35">
      <c r="A176">
        <v>175</v>
      </c>
      <c r="B176">
        <v>72.351473103556046</v>
      </c>
      <c r="C176">
        <v>0</v>
      </c>
      <c r="D176">
        <v>2.6485268964439541</v>
      </c>
    </row>
    <row r="177" spans="1:4" x14ac:dyDescent="0.35">
      <c r="A177">
        <v>176</v>
      </c>
      <c r="B177">
        <v>58.498608350921081</v>
      </c>
      <c r="C177">
        <v>0</v>
      </c>
      <c r="D177">
        <v>16.501391649078919</v>
      </c>
    </row>
    <row r="178" spans="1:4" x14ac:dyDescent="0.35">
      <c r="A178">
        <v>177</v>
      </c>
      <c r="B178">
        <v>74.793843676551475</v>
      </c>
      <c r="C178">
        <v>0</v>
      </c>
      <c r="D178">
        <v>0.20615632344852486</v>
      </c>
    </row>
    <row r="179" spans="1:4" x14ac:dyDescent="0.35">
      <c r="A179">
        <v>178</v>
      </c>
      <c r="B179">
        <v>69.012591491566397</v>
      </c>
      <c r="C179">
        <v>0</v>
      </c>
      <c r="D179">
        <v>5.9874085084336031</v>
      </c>
    </row>
    <row r="180" spans="1:4" x14ac:dyDescent="0.35">
      <c r="A180">
        <v>179</v>
      </c>
      <c r="B180">
        <v>91.26100279064363</v>
      </c>
      <c r="C180">
        <v>16.26100279064363</v>
      </c>
      <c r="D180">
        <v>0</v>
      </c>
    </row>
    <row r="181" spans="1:4" x14ac:dyDescent="0.35">
      <c r="A181">
        <v>180</v>
      </c>
      <c r="B181">
        <v>60.15485830211874</v>
      </c>
      <c r="C181">
        <v>0</v>
      </c>
      <c r="D181">
        <v>14.84514169788126</v>
      </c>
    </row>
    <row r="182" spans="1:4" x14ac:dyDescent="0.35">
      <c r="A182">
        <v>181</v>
      </c>
      <c r="B182">
        <v>87.151551292011973</v>
      </c>
      <c r="C182">
        <v>12.151551292011973</v>
      </c>
      <c r="D182">
        <v>0</v>
      </c>
    </row>
    <row r="183" spans="1:4" x14ac:dyDescent="0.35">
      <c r="A183">
        <v>182</v>
      </c>
      <c r="B183">
        <v>74.40046318832556</v>
      </c>
      <c r="C183">
        <v>0</v>
      </c>
      <c r="D183">
        <v>0.59953681167444017</v>
      </c>
    </row>
    <row r="184" spans="1:4" x14ac:dyDescent="0.35">
      <c r="A184">
        <v>183</v>
      </c>
      <c r="B184">
        <v>67.435897707216284</v>
      </c>
      <c r="C184">
        <v>0</v>
      </c>
      <c r="D184">
        <v>7.5641022927837156</v>
      </c>
    </row>
    <row r="185" spans="1:4" x14ac:dyDescent="0.35">
      <c r="A185">
        <v>184</v>
      </c>
      <c r="B185">
        <v>61.549282938952771</v>
      </c>
      <c r="C185">
        <v>0</v>
      </c>
      <c r="D185">
        <v>13.450717061047229</v>
      </c>
    </row>
    <row r="186" spans="1:4" x14ac:dyDescent="0.35">
      <c r="A186">
        <v>185</v>
      </c>
      <c r="B186">
        <v>70.757907609179355</v>
      </c>
      <c r="C186">
        <v>0</v>
      </c>
      <c r="D186">
        <v>4.2420923908206447</v>
      </c>
    </row>
    <row r="187" spans="1:4" x14ac:dyDescent="0.35">
      <c r="A187">
        <v>186</v>
      </c>
      <c r="B187">
        <v>63.895414762941421</v>
      </c>
      <c r="C187">
        <v>0</v>
      </c>
      <c r="D187">
        <v>11.104585237058579</v>
      </c>
    </row>
    <row r="188" spans="1:4" x14ac:dyDescent="0.35">
      <c r="A188">
        <v>187</v>
      </c>
      <c r="B188">
        <v>101.30572786924952</v>
      </c>
      <c r="C188">
        <v>26.305727869249523</v>
      </c>
      <c r="D188">
        <v>0</v>
      </c>
    </row>
    <row r="189" spans="1:4" x14ac:dyDescent="0.35">
      <c r="A189">
        <v>188</v>
      </c>
      <c r="B189">
        <v>60.818776634456512</v>
      </c>
      <c r="C189">
        <v>0</v>
      </c>
      <c r="D189">
        <v>14.181223365543488</v>
      </c>
    </row>
    <row r="190" spans="1:4" x14ac:dyDescent="0.35">
      <c r="A190">
        <v>189</v>
      </c>
      <c r="B190">
        <v>54.542037237148399</v>
      </c>
      <c r="C190">
        <v>0</v>
      </c>
      <c r="D190">
        <v>20.457962762851601</v>
      </c>
    </row>
    <row r="191" spans="1:4" x14ac:dyDescent="0.35">
      <c r="A191">
        <v>190</v>
      </c>
      <c r="B191">
        <v>67.375808974264316</v>
      </c>
      <c r="C191">
        <v>0</v>
      </c>
      <c r="D191">
        <v>7.6241910257356835</v>
      </c>
    </row>
    <row r="192" spans="1:4" x14ac:dyDescent="0.35">
      <c r="A192">
        <v>191</v>
      </c>
      <c r="B192">
        <v>72.473170088253326</v>
      </c>
      <c r="C192">
        <v>0</v>
      </c>
      <c r="D192">
        <v>2.5268299117466739</v>
      </c>
    </row>
    <row r="193" spans="1:4" x14ac:dyDescent="0.35">
      <c r="A193">
        <v>192</v>
      </c>
      <c r="B193">
        <v>87.109760805491021</v>
      </c>
      <c r="C193">
        <v>12.109760805491021</v>
      </c>
      <c r="D193">
        <v>0</v>
      </c>
    </row>
    <row r="194" spans="1:4" x14ac:dyDescent="0.35">
      <c r="A194">
        <v>193</v>
      </c>
      <c r="B194">
        <v>72.230970534942443</v>
      </c>
      <c r="C194">
        <v>0</v>
      </c>
      <c r="D194">
        <v>2.7690294650575566</v>
      </c>
    </row>
    <row r="195" spans="1:4" x14ac:dyDescent="0.35">
      <c r="A195">
        <v>194</v>
      </c>
      <c r="B195">
        <v>68.922116093769375</v>
      </c>
      <c r="C195">
        <v>0</v>
      </c>
      <c r="D195">
        <v>6.0778839062306247</v>
      </c>
    </row>
    <row r="196" spans="1:4" x14ac:dyDescent="0.35">
      <c r="A196">
        <v>195</v>
      </c>
      <c r="B196">
        <v>82.329449948176915</v>
      </c>
      <c r="C196">
        <v>7.3294499481769151</v>
      </c>
      <c r="D196">
        <v>0</v>
      </c>
    </row>
    <row r="197" spans="1:4" x14ac:dyDescent="0.35">
      <c r="A197">
        <v>196</v>
      </c>
      <c r="B197">
        <v>81.345377204959746</v>
      </c>
      <c r="C197">
        <v>6.3453772049597461</v>
      </c>
      <c r="D197">
        <v>0</v>
      </c>
    </row>
    <row r="198" spans="1:4" x14ac:dyDescent="0.35">
      <c r="A198">
        <v>197</v>
      </c>
      <c r="B198">
        <v>75.889133330053937</v>
      </c>
      <c r="C198">
        <v>0.88913333005393724</v>
      </c>
      <c r="D198">
        <v>0</v>
      </c>
    </row>
    <row r="199" spans="1:4" x14ac:dyDescent="0.35">
      <c r="A199">
        <v>198</v>
      </c>
      <c r="B199">
        <v>77.421323045562104</v>
      </c>
      <c r="C199">
        <v>2.4213230455621044</v>
      </c>
      <c r="D199">
        <v>0</v>
      </c>
    </row>
    <row r="200" spans="1:4" x14ac:dyDescent="0.35">
      <c r="A200">
        <v>199</v>
      </c>
      <c r="B200">
        <v>104.59804144643496</v>
      </c>
      <c r="C200">
        <v>29.598041446434962</v>
      </c>
      <c r="D200">
        <v>0</v>
      </c>
    </row>
    <row r="201" spans="1:4" x14ac:dyDescent="0.35">
      <c r="A201">
        <v>200</v>
      </c>
      <c r="B201">
        <v>67.231654404051071</v>
      </c>
      <c r="C201">
        <v>0</v>
      </c>
      <c r="D201">
        <v>7.7683455959489294</v>
      </c>
    </row>
    <row r="202" spans="1:4" x14ac:dyDescent="0.35">
      <c r="A202">
        <v>201</v>
      </c>
      <c r="B202">
        <v>71.139852621035345</v>
      </c>
      <c r="C202">
        <v>0</v>
      </c>
      <c r="D202">
        <v>3.8601473789646548</v>
      </c>
    </row>
    <row r="203" spans="1:4" x14ac:dyDescent="0.35">
      <c r="A203">
        <v>202</v>
      </c>
      <c r="B203">
        <v>69.085889347920315</v>
      </c>
      <c r="C203">
        <v>0</v>
      </c>
      <c r="D203">
        <v>5.9141106520796853</v>
      </c>
    </row>
    <row r="204" spans="1:4" x14ac:dyDescent="0.35">
      <c r="A204">
        <v>203</v>
      </c>
      <c r="B204">
        <v>76.579333528502517</v>
      </c>
      <c r="C204">
        <v>1.5793335285025165</v>
      </c>
      <c r="D204">
        <v>0</v>
      </c>
    </row>
    <row r="205" spans="1:4" x14ac:dyDescent="0.35">
      <c r="A205">
        <v>204</v>
      </c>
      <c r="B205">
        <v>62.606228962140982</v>
      </c>
      <c r="C205">
        <v>0</v>
      </c>
      <c r="D205">
        <v>12.393771037859018</v>
      </c>
    </row>
    <row r="206" spans="1:4" x14ac:dyDescent="0.35">
      <c r="A206">
        <v>205</v>
      </c>
      <c r="B206">
        <v>69.33441847642284</v>
      </c>
      <c r="C206">
        <v>0</v>
      </c>
      <c r="D206">
        <v>5.6655815235771598</v>
      </c>
    </row>
    <row r="207" spans="1:4" x14ac:dyDescent="0.35">
      <c r="A207">
        <v>206</v>
      </c>
      <c r="B207">
        <v>72.357536061448599</v>
      </c>
      <c r="C207">
        <v>0</v>
      </c>
      <c r="D207">
        <v>2.6424639385514013</v>
      </c>
    </row>
    <row r="208" spans="1:4" x14ac:dyDescent="0.35">
      <c r="A208">
        <v>207</v>
      </c>
      <c r="B208">
        <v>80.84100764752408</v>
      </c>
      <c r="C208">
        <v>5.84100764752408</v>
      </c>
      <c r="D208">
        <v>0</v>
      </c>
    </row>
    <row r="209" spans="1:4" x14ac:dyDescent="0.35">
      <c r="A209">
        <v>208</v>
      </c>
      <c r="B209">
        <v>72.29938863958057</v>
      </c>
      <c r="C209">
        <v>0</v>
      </c>
      <c r="D209">
        <v>2.7006113604194297</v>
      </c>
    </row>
    <row r="210" spans="1:4" x14ac:dyDescent="0.35">
      <c r="A210">
        <v>209</v>
      </c>
      <c r="B210">
        <v>69.449562803274702</v>
      </c>
      <c r="C210">
        <v>0</v>
      </c>
      <c r="D210">
        <v>5.5504371967252979</v>
      </c>
    </row>
    <row r="211" spans="1:4" x14ac:dyDescent="0.35">
      <c r="A211">
        <v>210</v>
      </c>
      <c r="B211">
        <v>71.488913721002419</v>
      </c>
      <c r="C211">
        <v>0</v>
      </c>
      <c r="D211">
        <v>3.5110862789975812</v>
      </c>
    </row>
    <row r="212" spans="1:4" x14ac:dyDescent="0.35">
      <c r="A212">
        <v>211</v>
      </c>
      <c r="B212">
        <v>64.148172876684811</v>
      </c>
      <c r="C212">
        <v>0</v>
      </c>
      <c r="D212">
        <v>10.851827123315189</v>
      </c>
    </row>
    <row r="213" spans="1:4" x14ac:dyDescent="0.35">
      <c r="A213">
        <v>212</v>
      </c>
      <c r="B213">
        <v>74.372335835013487</v>
      </c>
      <c r="C213">
        <v>0</v>
      </c>
      <c r="D213">
        <v>0.62766416498651267</v>
      </c>
    </row>
    <row r="214" spans="1:4" x14ac:dyDescent="0.35">
      <c r="A214">
        <v>213</v>
      </c>
      <c r="B214">
        <v>71.004749445561259</v>
      </c>
      <c r="C214">
        <v>0</v>
      </c>
      <c r="D214">
        <v>3.9952505544387407</v>
      </c>
    </row>
    <row r="215" spans="1:4" x14ac:dyDescent="0.35">
      <c r="A215">
        <v>214</v>
      </c>
      <c r="B215">
        <v>76.139399371772583</v>
      </c>
      <c r="C215">
        <v>1.1393993717725834</v>
      </c>
      <c r="D215">
        <v>0</v>
      </c>
    </row>
    <row r="216" spans="1:4" x14ac:dyDescent="0.35">
      <c r="A216">
        <v>215</v>
      </c>
      <c r="B216">
        <v>84.49139568195568</v>
      </c>
      <c r="C216">
        <v>9.4913956819556802</v>
      </c>
      <c r="D216">
        <v>0</v>
      </c>
    </row>
    <row r="217" spans="1:4" x14ac:dyDescent="0.35">
      <c r="A217">
        <v>216</v>
      </c>
      <c r="B217">
        <v>68.017826075524709</v>
      </c>
      <c r="C217">
        <v>0</v>
      </c>
      <c r="D217">
        <v>6.9821739244752905</v>
      </c>
    </row>
    <row r="218" spans="1:4" x14ac:dyDescent="0.35">
      <c r="A218">
        <v>217</v>
      </c>
      <c r="B218">
        <v>66.251355145586274</v>
      </c>
      <c r="C218">
        <v>0</v>
      </c>
      <c r="D218">
        <v>8.7486448544137261</v>
      </c>
    </row>
    <row r="219" spans="1:4" x14ac:dyDescent="0.35">
      <c r="A219">
        <v>218</v>
      </c>
      <c r="B219">
        <v>65.992352374594645</v>
      </c>
      <c r="C219">
        <v>0</v>
      </c>
      <c r="D219">
        <v>9.0076476254053546</v>
      </c>
    </row>
    <row r="220" spans="1:4" x14ac:dyDescent="0.35">
      <c r="A220">
        <v>219</v>
      </c>
      <c r="B220">
        <v>61.588970871972364</v>
      </c>
      <c r="C220">
        <v>0</v>
      </c>
      <c r="D220">
        <v>13.411029128027636</v>
      </c>
    </row>
    <row r="221" spans="1:4" x14ac:dyDescent="0.35">
      <c r="A221">
        <v>220</v>
      </c>
      <c r="B221">
        <v>72.01555364618622</v>
      </c>
      <c r="C221">
        <v>0</v>
      </c>
      <c r="D221">
        <v>2.9844463538137802</v>
      </c>
    </row>
    <row r="222" spans="1:4" x14ac:dyDescent="0.35">
      <c r="A222">
        <v>221</v>
      </c>
      <c r="B222">
        <v>64.012268679583485</v>
      </c>
      <c r="C222">
        <v>0</v>
      </c>
      <c r="D222">
        <v>10.987731320416515</v>
      </c>
    </row>
    <row r="223" spans="1:4" x14ac:dyDescent="0.35">
      <c r="A223">
        <v>222</v>
      </c>
      <c r="B223">
        <v>73.436621296502068</v>
      </c>
      <c r="C223">
        <v>0</v>
      </c>
      <c r="D223">
        <v>1.5633787034979321</v>
      </c>
    </row>
    <row r="224" spans="1:4" x14ac:dyDescent="0.35">
      <c r="A224">
        <v>223</v>
      </c>
      <c r="B224">
        <v>67.838448343091926</v>
      </c>
      <c r="C224">
        <v>0</v>
      </c>
      <c r="D224">
        <v>7.1615516569080739</v>
      </c>
    </row>
    <row r="225" spans="1:4" x14ac:dyDescent="0.35">
      <c r="A225">
        <v>224</v>
      </c>
      <c r="B225">
        <v>83.856285626237252</v>
      </c>
      <c r="C225">
        <v>8.856285626237252</v>
      </c>
      <c r="D225">
        <v>0</v>
      </c>
    </row>
    <row r="226" spans="1:4" x14ac:dyDescent="0.35">
      <c r="A226">
        <v>225</v>
      </c>
      <c r="B226">
        <v>70.708769074434045</v>
      </c>
      <c r="C226">
        <v>0</v>
      </c>
      <c r="D226">
        <v>4.2912309255659551</v>
      </c>
    </row>
    <row r="227" spans="1:4" x14ac:dyDescent="0.35">
      <c r="A227">
        <v>226</v>
      </c>
      <c r="B227">
        <v>62.989177451062751</v>
      </c>
      <c r="C227">
        <v>0</v>
      </c>
      <c r="D227">
        <v>12.010822548937249</v>
      </c>
    </row>
    <row r="228" spans="1:4" x14ac:dyDescent="0.35">
      <c r="A228">
        <v>227</v>
      </c>
      <c r="B228">
        <v>76.237068246991313</v>
      </c>
      <c r="C228">
        <v>1.2370682469913135</v>
      </c>
      <c r="D228">
        <v>0</v>
      </c>
    </row>
    <row r="229" spans="1:4" x14ac:dyDescent="0.35">
      <c r="A229">
        <v>228</v>
      </c>
      <c r="B229">
        <v>78.275843626634838</v>
      </c>
      <c r="C229">
        <v>3.2758436266348383</v>
      </c>
      <c r="D229">
        <v>0</v>
      </c>
    </row>
    <row r="230" spans="1:4" x14ac:dyDescent="0.35">
      <c r="A230">
        <v>229</v>
      </c>
      <c r="B230">
        <v>74.228292877611636</v>
      </c>
      <c r="C230">
        <v>0</v>
      </c>
      <c r="D230">
        <v>0.77170712238836359</v>
      </c>
    </row>
    <row r="231" spans="1:4" x14ac:dyDescent="0.35">
      <c r="A231">
        <v>230</v>
      </c>
      <c r="B231">
        <v>79.532834181449459</v>
      </c>
      <c r="C231">
        <v>4.5328341814494593</v>
      </c>
      <c r="D231">
        <v>0</v>
      </c>
    </row>
    <row r="232" spans="1:4" x14ac:dyDescent="0.35">
      <c r="A232">
        <v>231</v>
      </c>
      <c r="B232">
        <v>62.005051997840262</v>
      </c>
      <c r="C232">
        <v>0</v>
      </c>
      <c r="D232">
        <v>12.994948002159738</v>
      </c>
    </row>
    <row r="233" spans="1:4" x14ac:dyDescent="0.35">
      <c r="A233">
        <v>232</v>
      </c>
      <c r="B233">
        <v>80.551375335852214</v>
      </c>
      <c r="C233">
        <v>5.5513753358522138</v>
      </c>
      <c r="D233">
        <v>0</v>
      </c>
    </row>
    <row r="234" spans="1:4" x14ac:dyDescent="0.35">
      <c r="A234">
        <v>233</v>
      </c>
      <c r="B234">
        <v>63.374311042576039</v>
      </c>
      <c r="C234">
        <v>0</v>
      </c>
      <c r="D234">
        <v>11.625688957423961</v>
      </c>
    </row>
    <row r="235" spans="1:4" x14ac:dyDescent="0.35">
      <c r="A235">
        <v>234</v>
      </c>
      <c r="B235">
        <v>90.731161938422673</v>
      </c>
      <c r="C235">
        <v>15.731161938422673</v>
      </c>
      <c r="D235">
        <v>0</v>
      </c>
    </row>
    <row r="236" spans="1:4" x14ac:dyDescent="0.35">
      <c r="A236">
        <v>235</v>
      </c>
      <c r="B236">
        <v>57.623318447799491</v>
      </c>
      <c r="C236">
        <v>0</v>
      </c>
      <c r="D236">
        <v>17.376681552200509</v>
      </c>
    </row>
    <row r="237" spans="1:4" x14ac:dyDescent="0.35">
      <c r="A237">
        <v>236</v>
      </c>
      <c r="B237">
        <v>57.342283947620658</v>
      </c>
      <c r="C237">
        <v>0</v>
      </c>
      <c r="D237">
        <v>17.657716052379342</v>
      </c>
    </row>
    <row r="238" spans="1:4" x14ac:dyDescent="0.35">
      <c r="A238">
        <v>237</v>
      </c>
      <c r="B238">
        <v>79.961304956994084</v>
      </c>
      <c r="C238">
        <v>4.9613049569940841</v>
      </c>
      <c r="D238">
        <v>0</v>
      </c>
    </row>
    <row r="239" spans="1:4" x14ac:dyDescent="0.35">
      <c r="A239">
        <v>238</v>
      </c>
      <c r="B239">
        <v>68.247949226565922</v>
      </c>
      <c r="C239">
        <v>0</v>
      </c>
      <c r="D239">
        <v>6.7520507734340782</v>
      </c>
    </row>
    <row r="240" spans="1:4" x14ac:dyDescent="0.35">
      <c r="A240">
        <v>239</v>
      </c>
      <c r="B240">
        <v>70.348308260946624</v>
      </c>
      <c r="C240">
        <v>0</v>
      </c>
      <c r="D240">
        <v>4.6516917390533763</v>
      </c>
    </row>
    <row r="241" spans="1:4" x14ac:dyDescent="0.35">
      <c r="A241">
        <v>240</v>
      </c>
      <c r="B241">
        <v>60.36742027541198</v>
      </c>
      <c r="C241">
        <v>0</v>
      </c>
      <c r="D241">
        <v>14.63257972458802</v>
      </c>
    </row>
    <row r="242" spans="1:4" x14ac:dyDescent="0.35">
      <c r="A242">
        <v>241</v>
      </c>
      <c r="B242">
        <v>60.191838984245692</v>
      </c>
      <c r="C242">
        <v>0</v>
      </c>
      <c r="D242">
        <v>14.808161015754308</v>
      </c>
    </row>
    <row r="243" spans="1:4" x14ac:dyDescent="0.35">
      <c r="A243">
        <v>242</v>
      </c>
      <c r="B243">
        <v>62.425491473103335</v>
      </c>
      <c r="C243">
        <v>0</v>
      </c>
      <c r="D243">
        <v>12.574508526896665</v>
      </c>
    </row>
    <row r="244" spans="1:4" x14ac:dyDescent="0.35">
      <c r="A244">
        <v>243</v>
      </c>
      <c r="B244">
        <v>56.370863931798489</v>
      </c>
      <c r="C244">
        <v>0</v>
      </c>
      <c r="D244">
        <v>18.629136068201511</v>
      </c>
    </row>
    <row r="245" spans="1:4" x14ac:dyDescent="0.35">
      <c r="A245">
        <v>244</v>
      </c>
      <c r="B245">
        <v>77.192889655121803</v>
      </c>
      <c r="C245">
        <v>2.1928896551218031</v>
      </c>
      <c r="D245">
        <v>0</v>
      </c>
    </row>
    <row r="246" spans="1:4" x14ac:dyDescent="0.35">
      <c r="A246">
        <v>245</v>
      </c>
      <c r="B246">
        <v>72.097281097739739</v>
      </c>
      <c r="C246">
        <v>0</v>
      </c>
      <c r="D246">
        <v>2.9027189022602613</v>
      </c>
    </row>
    <row r="247" spans="1:4" x14ac:dyDescent="0.35">
      <c r="A247">
        <v>246</v>
      </c>
      <c r="B247">
        <v>72.818711309990277</v>
      </c>
      <c r="C247">
        <v>0</v>
      </c>
      <c r="D247">
        <v>2.1812886900097226</v>
      </c>
    </row>
    <row r="248" spans="1:4" x14ac:dyDescent="0.35">
      <c r="A248">
        <v>247</v>
      </c>
      <c r="B248">
        <v>63.813694689567754</v>
      </c>
      <c r="C248">
        <v>0</v>
      </c>
      <c r="D248">
        <v>11.186305310432246</v>
      </c>
    </row>
    <row r="249" spans="1:4" x14ac:dyDescent="0.35">
      <c r="A249">
        <v>248</v>
      </c>
      <c r="B249">
        <v>70.458668941635537</v>
      </c>
      <c r="C249">
        <v>0</v>
      </c>
      <c r="D249">
        <v>4.541331058364463</v>
      </c>
    </row>
    <row r="250" spans="1:4" x14ac:dyDescent="0.35">
      <c r="A250">
        <v>249</v>
      </c>
      <c r="B250">
        <v>78.239264648434187</v>
      </c>
      <c r="C250">
        <v>3.2392646484341867</v>
      </c>
      <c r="D250">
        <v>0</v>
      </c>
    </row>
    <row r="251" spans="1:4" x14ac:dyDescent="0.35">
      <c r="A251">
        <v>250</v>
      </c>
      <c r="B251">
        <v>78.44588850659332</v>
      </c>
      <c r="C251">
        <v>3.4458885065933202</v>
      </c>
      <c r="D251">
        <v>0</v>
      </c>
    </row>
    <row r="252" spans="1:4" x14ac:dyDescent="0.35">
      <c r="A252">
        <v>251</v>
      </c>
      <c r="B252">
        <v>68.734435619278187</v>
      </c>
      <c r="C252">
        <v>0</v>
      </c>
      <c r="D252">
        <v>6.2655643807218127</v>
      </c>
    </row>
    <row r="253" spans="1:4" x14ac:dyDescent="0.35">
      <c r="A253">
        <v>252</v>
      </c>
      <c r="B253">
        <v>85.579008942422291</v>
      </c>
      <c r="C253">
        <v>10.579008942422291</v>
      </c>
      <c r="D253">
        <v>0</v>
      </c>
    </row>
    <row r="254" spans="1:4" x14ac:dyDescent="0.35">
      <c r="A254">
        <v>253</v>
      </c>
      <c r="B254">
        <v>78.227293574020891</v>
      </c>
      <c r="C254">
        <v>3.2272935740208908</v>
      </c>
      <c r="D254">
        <v>0</v>
      </c>
    </row>
    <row r="255" spans="1:4" x14ac:dyDescent="0.35">
      <c r="A255">
        <v>254</v>
      </c>
      <c r="B255">
        <v>58.91850606011112</v>
      </c>
      <c r="C255">
        <v>0</v>
      </c>
      <c r="D255">
        <v>16.08149393988888</v>
      </c>
    </row>
    <row r="256" spans="1:4" x14ac:dyDescent="0.35">
      <c r="A256">
        <v>255</v>
      </c>
      <c r="B256">
        <v>74.799426532232133</v>
      </c>
      <c r="C256">
        <v>0</v>
      </c>
      <c r="D256">
        <v>0.20057346776786744</v>
      </c>
    </row>
    <row r="257" spans="1:4" x14ac:dyDescent="0.35">
      <c r="A257">
        <v>256</v>
      </c>
      <c r="B257">
        <v>77.13571559424139</v>
      </c>
      <c r="C257">
        <v>2.1357155942413897</v>
      </c>
      <c r="D257">
        <v>0</v>
      </c>
    </row>
    <row r="258" spans="1:4" x14ac:dyDescent="0.35">
      <c r="A258">
        <v>257</v>
      </c>
      <c r="B258">
        <v>52.617117524025971</v>
      </c>
      <c r="C258">
        <v>0</v>
      </c>
      <c r="D258">
        <v>22.382882475974029</v>
      </c>
    </row>
    <row r="259" spans="1:4" x14ac:dyDescent="0.35">
      <c r="A259">
        <v>258</v>
      </c>
      <c r="B259">
        <v>69.539616442452001</v>
      </c>
      <c r="C259">
        <v>0</v>
      </c>
      <c r="D259">
        <v>5.4603835575479991</v>
      </c>
    </row>
    <row r="260" spans="1:4" x14ac:dyDescent="0.35">
      <c r="A260">
        <v>259</v>
      </c>
      <c r="B260">
        <v>68.810925588452548</v>
      </c>
      <c r="C260">
        <v>0</v>
      </c>
      <c r="D260">
        <v>6.1890744115474519</v>
      </c>
    </row>
    <row r="261" spans="1:4" x14ac:dyDescent="0.35">
      <c r="A261">
        <v>260</v>
      </c>
      <c r="B261">
        <v>65.511993484784682</v>
      </c>
      <c r="C261">
        <v>0</v>
      </c>
      <c r="D261">
        <v>9.4880065152153179</v>
      </c>
    </row>
    <row r="262" spans="1:4" x14ac:dyDescent="0.35">
      <c r="A262">
        <v>261</v>
      </c>
      <c r="B262">
        <v>96.885908824322996</v>
      </c>
      <c r="C262">
        <v>21.885908824322996</v>
      </c>
      <c r="D262">
        <v>0</v>
      </c>
    </row>
    <row r="263" spans="1:4" x14ac:dyDescent="0.35">
      <c r="A263">
        <v>262</v>
      </c>
      <c r="B263">
        <v>80.337765261158623</v>
      </c>
      <c r="C263">
        <v>5.3377652611586228</v>
      </c>
      <c r="D263">
        <v>0</v>
      </c>
    </row>
    <row r="264" spans="1:4" x14ac:dyDescent="0.35">
      <c r="A264">
        <v>263</v>
      </c>
      <c r="B264">
        <v>76.604592634608352</v>
      </c>
      <c r="C264">
        <v>1.6045926346083519</v>
      </c>
      <c r="D264">
        <v>0</v>
      </c>
    </row>
    <row r="265" spans="1:4" x14ac:dyDescent="0.35">
      <c r="A265">
        <v>264</v>
      </c>
      <c r="B265">
        <v>69.201618644958145</v>
      </c>
      <c r="C265">
        <v>0</v>
      </c>
      <c r="D265">
        <v>5.7983813550418546</v>
      </c>
    </row>
    <row r="266" spans="1:4" x14ac:dyDescent="0.35">
      <c r="A266">
        <v>265</v>
      </c>
      <c r="B266">
        <v>77.836596725173621</v>
      </c>
      <c r="C266">
        <v>2.8365967251736208</v>
      </c>
      <c r="D266">
        <v>0</v>
      </c>
    </row>
    <row r="267" spans="1:4" x14ac:dyDescent="0.35">
      <c r="A267">
        <v>266</v>
      </c>
      <c r="B267">
        <v>65.563715606832702</v>
      </c>
      <c r="C267">
        <v>0</v>
      </c>
      <c r="D267">
        <v>9.4362843931672984</v>
      </c>
    </row>
    <row r="268" spans="1:4" x14ac:dyDescent="0.35">
      <c r="A268">
        <v>267</v>
      </c>
      <c r="B268">
        <v>67.663077741872797</v>
      </c>
      <c r="C268">
        <v>0</v>
      </c>
      <c r="D268">
        <v>7.3369222581272027</v>
      </c>
    </row>
    <row r="269" spans="1:4" x14ac:dyDescent="0.35">
      <c r="A269">
        <v>268</v>
      </c>
      <c r="B269">
        <v>69.597279068931599</v>
      </c>
      <c r="C269">
        <v>0</v>
      </c>
      <c r="D269">
        <v>5.4027209310684015</v>
      </c>
    </row>
    <row r="270" spans="1:4" x14ac:dyDescent="0.35">
      <c r="A270">
        <v>269</v>
      </c>
      <c r="B270">
        <v>89.255642836388532</v>
      </c>
      <c r="C270">
        <v>14.255642836388532</v>
      </c>
      <c r="D270">
        <v>0</v>
      </c>
    </row>
    <row r="271" spans="1:4" x14ac:dyDescent="0.35">
      <c r="A271">
        <v>270</v>
      </c>
      <c r="B271">
        <v>60.452507826148782</v>
      </c>
      <c r="C271">
        <v>0</v>
      </c>
      <c r="D271">
        <v>14.547492173851218</v>
      </c>
    </row>
    <row r="272" spans="1:4" x14ac:dyDescent="0.35">
      <c r="A272">
        <v>271</v>
      </c>
      <c r="B272">
        <v>75.120825428367269</v>
      </c>
      <c r="C272">
        <v>0.12082542836726873</v>
      </c>
      <c r="D272">
        <v>0</v>
      </c>
    </row>
    <row r="273" spans="1:4" x14ac:dyDescent="0.35">
      <c r="A273">
        <v>272</v>
      </c>
      <c r="B273">
        <v>67.438630565374666</v>
      </c>
      <c r="C273">
        <v>0</v>
      </c>
      <c r="D273">
        <v>7.561369434625334</v>
      </c>
    </row>
    <row r="274" spans="1:4" x14ac:dyDescent="0.35">
      <c r="A274">
        <v>273</v>
      </c>
      <c r="B274">
        <v>59.695570423607805</v>
      </c>
      <c r="C274">
        <v>0</v>
      </c>
      <c r="D274">
        <v>15.304429576392195</v>
      </c>
    </row>
    <row r="275" spans="1:4" x14ac:dyDescent="0.35">
      <c r="A275">
        <v>274</v>
      </c>
      <c r="B275">
        <v>62.817204133240381</v>
      </c>
      <c r="C275">
        <v>0</v>
      </c>
      <c r="D275">
        <v>12.182795866759619</v>
      </c>
    </row>
    <row r="276" spans="1:4" x14ac:dyDescent="0.35">
      <c r="A276">
        <v>275</v>
      </c>
      <c r="B276">
        <v>58.330834708564872</v>
      </c>
      <c r="C276">
        <v>0</v>
      </c>
      <c r="D276">
        <v>16.669165291435128</v>
      </c>
    </row>
    <row r="277" spans="1:4" x14ac:dyDescent="0.35">
      <c r="A277">
        <v>276</v>
      </c>
      <c r="B277">
        <v>69.579887107734976</v>
      </c>
      <c r="C277">
        <v>0</v>
      </c>
      <c r="D277">
        <v>5.4201128922650241</v>
      </c>
    </row>
    <row r="278" spans="1:4" x14ac:dyDescent="0.35">
      <c r="A278">
        <v>277</v>
      </c>
      <c r="B278">
        <v>91.089787606004393</v>
      </c>
      <c r="C278">
        <v>16.089787606004393</v>
      </c>
      <c r="D278">
        <v>0</v>
      </c>
    </row>
    <row r="279" spans="1:4" x14ac:dyDescent="0.35">
      <c r="A279">
        <v>278</v>
      </c>
      <c r="B279">
        <v>72.328040226880688</v>
      </c>
      <c r="C279">
        <v>0</v>
      </c>
      <c r="D279">
        <v>2.6719597731193119</v>
      </c>
    </row>
    <row r="280" spans="1:4" x14ac:dyDescent="0.35">
      <c r="A280">
        <v>279</v>
      </c>
      <c r="B280">
        <v>71.118883054294614</v>
      </c>
      <c r="C280">
        <v>0</v>
      </c>
      <c r="D280">
        <v>3.8811169457053865</v>
      </c>
    </row>
    <row r="281" spans="1:4" x14ac:dyDescent="0.35">
      <c r="A281">
        <v>280</v>
      </c>
      <c r="B281">
        <v>93.482601703245521</v>
      </c>
      <c r="C281">
        <v>18.482601703245521</v>
      </c>
      <c r="D281">
        <v>0</v>
      </c>
    </row>
    <row r="282" spans="1:4" x14ac:dyDescent="0.35">
      <c r="A282">
        <v>281</v>
      </c>
      <c r="B282">
        <v>63.846320083602926</v>
      </c>
      <c r="C282">
        <v>0</v>
      </c>
      <c r="D282">
        <v>11.153679916397074</v>
      </c>
    </row>
    <row r="283" spans="1:4" x14ac:dyDescent="0.35">
      <c r="A283">
        <v>282</v>
      </c>
      <c r="B283">
        <v>68.232448117577761</v>
      </c>
      <c r="C283">
        <v>0</v>
      </c>
      <c r="D283">
        <v>6.7675518824222394</v>
      </c>
    </row>
    <row r="284" spans="1:4" x14ac:dyDescent="0.35">
      <c r="A284">
        <v>283</v>
      </c>
      <c r="B284">
        <v>68.656930061594508</v>
      </c>
      <c r="C284">
        <v>0</v>
      </c>
      <c r="D284">
        <v>6.3430699384054918</v>
      </c>
    </row>
    <row r="285" spans="1:4" x14ac:dyDescent="0.35">
      <c r="A285">
        <v>284</v>
      </c>
      <c r="B285">
        <v>65.682937628856834</v>
      </c>
      <c r="C285">
        <v>0</v>
      </c>
      <c r="D285">
        <v>9.3170623711431659</v>
      </c>
    </row>
    <row r="286" spans="1:4" x14ac:dyDescent="0.35">
      <c r="A286">
        <v>285</v>
      </c>
      <c r="B286">
        <v>71.345188129562985</v>
      </c>
      <c r="C286">
        <v>0</v>
      </c>
      <c r="D286">
        <v>3.6548118704370154</v>
      </c>
    </row>
    <row r="287" spans="1:4" x14ac:dyDescent="0.35">
      <c r="A287">
        <v>286</v>
      </c>
      <c r="B287">
        <v>61.148527360189398</v>
      </c>
      <c r="C287">
        <v>0</v>
      </c>
      <c r="D287">
        <v>13.851472639810602</v>
      </c>
    </row>
    <row r="288" spans="1:4" x14ac:dyDescent="0.35">
      <c r="A288">
        <v>287</v>
      </c>
      <c r="B288">
        <v>71.696074281070906</v>
      </c>
      <c r="C288">
        <v>0</v>
      </c>
      <c r="D288">
        <v>3.3039257189290936</v>
      </c>
    </row>
    <row r="289" spans="1:4" x14ac:dyDescent="0.35">
      <c r="A289">
        <v>288</v>
      </c>
      <c r="B289">
        <v>92.049259871905392</v>
      </c>
      <c r="C289">
        <v>17.049259871905392</v>
      </c>
      <c r="D289">
        <v>0</v>
      </c>
    </row>
    <row r="290" spans="1:4" x14ac:dyDescent="0.35">
      <c r="A290">
        <v>289</v>
      </c>
      <c r="B290">
        <v>72.727526013662413</v>
      </c>
      <c r="C290">
        <v>0</v>
      </c>
      <c r="D290">
        <v>2.2724739863375873</v>
      </c>
    </row>
    <row r="291" spans="1:4" x14ac:dyDescent="0.35">
      <c r="A291">
        <v>290</v>
      </c>
      <c r="B291">
        <v>86.019779455817826</v>
      </c>
      <c r="C291">
        <v>11.019779455817826</v>
      </c>
      <c r="D291">
        <v>0</v>
      </c>
    </row>
    <row r="292" spans="1:4" x14ac:dyDescent="0.35">
      <c r="A292">
        <v>291</v>
      </c>
      <c r="B292">
        <v>75.445161506294639</v>
      </c>
      <c r="C292">
        <v>0.4451615062946388</v>
      </c>
      <c r="D292">
        <v>0</v>
      </c>
    </row>
    <row r="293" spans="1:4" x14ac:dyDescent="0.35">
      <c r="A293">
        <v>292</v>
      </c>
      <c r="B293">
        <v>69.788144371939779</v>
      </c>
      <c r="C293">
        <v>0</v>
      </c>
      <c r="D293">
        <v>5.2118556280602206</v>
      </c>
    </row>
    <row r="294" spans="1:4" x14ac:dyDescent="0.35">
      <c r="A294">
        <v>293</v>
      </c>
      <c r="B294">
        <v>76.508991231210402</v>
      </c>
      <c r="C294">
        <v>1.5089912312104019</v>
      </c>
      <c r="D294">
        <v>0</v>
      </c>
    </row>
    <row r="295" spans="1:4" x14ac:dyDescent="0.35">
      <c r="A295">
        <v>294</v>
      </c>
      <c r="B295">
        <v>57.53647416376127</v>
      </c>
      <c r="C295">
        <v>0</v>
      </c>
      <c r="D295">
        <v>17.46352583623873</v>
      </c>
    </row>
    <row r="296" spans="1:4" x14ac:dyDescent="0.35">
      <c r="A296">
        <v>295</v>
      </c>
      <c r="B296">
        <v>78.578745493698236</v>
      </c>
      <c r="C296">
        <v>3.5787454936982357</v>
      </c>
      <c r="D296">
        <v>0</v>
      </c>
    </row>
    <row r="297" spans="1:4" x14ac:dyDescent="0.35">
      <c r="A297">
        <v>296</v>
      </c>
      <c r="B297">
        <v>76.741390765409946</v>
      </c>
      <c r="C297">
        <v>1.7413907654099461</v>
      </c>
      <c r="D297">
        <v>0</v>
      </c>
    </row>
    <row r="298" spans="1:4" x14ac:dyDescent="0.35">
      <c r="A298">
        <v>297</v>
      </c>
      <c r="B298">
        <v>71.186598603672508</v>
      </c>
      <c r="C298">
        <v>0</v>
      </c>
      <c r="D298">
        <v>3.8134013963274924</v>
      </c>
    </row>
    <row r="299" spans="1:4" x14ac:dyDescent="0.35">
      <c r="A299">
        <v>298</v>
      </c>
      <c r="B299">
        <v>61.777616883468404</v>
      </c>
      <c r="C299">
        <v>0</v>
      </c>
      <c r="D299">
        <v>13.222383116531596</v>
      </c>
    </row>
    <row r="300" spans="1:4" x14ac:dyDescent="0.35">
      <c r="A300">
        <v>299</v>
      </c>
      <c r="B300">
        <v>64.026633573146796</v>
      </c>
      <c r="C300">
        <v>0</v>
      </c>
      <c r="D300">
        <v>10.973366426853204</v>
      </c>
    </row>
    <row r="301" spans="1:4" x14ac:dyDescent="0.35">
      <c r="A301">
        <v>300</v>
      </c>
      <c r="B301">
        <v>66.87644791492616</v>
      </c>
      <c r="C301">
        <v>0</v>
      </c>
      <c r="D301">
        <v>8.1235520850738396</v>
      </c>
    </row>
    <row r="302" spans="1:4" x14ac:dyDescent="0.35">
      <c r="A302">
        <v>301</v>
      </c>
      <c r="B302">
        <v>79.622609531973808</v>
      </c>
      <c r="C302">
        <v>4.6226095319738079</v>
      </c>
      <c r="D302">
        <v>0</v>
      </c>
    </row>
    <row r="303" spans="1:4" x14ac:dyDescent="0.35">
      <c r="A303">
        <v>302</v>
      </c>
      <c r="B303">
        <v>56.538415601541494</v>
      </c>
      <c r="C303">
        <v>0</v>
      </c>
      <c r="D303">
        <v>18.461584398458506</v>
      </c>
    </row>
    <row r="304" spans="1:4" x14ac:dyDescent="0.35">
      <c r="A304">
        <v>303</v>
      </c>
      <c r="B304">
        <v>71.715343766264155</v>
      </c>
      <c r="C304">
        <v>0</v>
      </c>
      <c r="D304">
        <v>3.2846562337358449</v>
      </c>
    </row>
    <row r="305" spans="1:4" x14ac:dyDescent="0.35">
      <c r="A305">
        <v>304</v>
      </c>
      <c r="B305">
        <v>78.611866860445716</v>
      </c>
      <c r="C305">
        <v>3.6118668604457156</v>
      </c>
      <c r="D305">
        <v>0</v>
      </c>
    </row>
    <row r="306" spans="1:4" x14ac:dyDescent="0.35">
      <c r="A306">
        <v>305</v>
      </c>
      <c r="B306">
        <v>80.259882886172917</v>
      </c>
      <c r="C306">
        <v>5.2598828861729174</v>
      </c>
      <c r="D306">
        <v>0</v>
      </c>
    </row>
    <row r="307" spans="1:4" x14ac:dyDescent="0.35">
      <c r="A307">
        <v>306</v>
      </c>
      <c r="B307">
        <v>66.851899728612622</v>
      </c>
      <c r="C307">
        <v>0</v>
      </c>
      <c r="D307">
        <v>8.1481002713873778</v>
      </c>
    </row>
    <row r="308" spans="1:4" x14ac:dyDescent="0.35">
      <c r="A308">
        <v>307</v>
      </c>
      <c r="B308">
        <v>93.432627913337669</v>
      </c>
      <c r="C308">
        <v>18.432627913337669</v>
      </c>
      <c r="D308">
        <v>0</v>
      </c>
    </row>
    <row r="309" spans="1:4" x14ac:dyDescent="0.35">
      <c r="A309">
        <v>308</v>
      </c>
      <c r="B309">
        <v>80.406430033267924</v>
      </c>
      <c r="C309">
        <v>5.4064300332679238</v>
      </c>
      <c r="D309">
        <v>0</v>
      </c>
    </row>
    <row r="310" spans="1:4" x14ac:dyDescent="0.35">
      <c r="A310">
        <v>309</v>
      </c>
      <c r="B310">
        <v>75.96030681584979</v>
      </c>
      <c r="C310">
        <v>0.9603068158497905</v>
      </c>
      <c r="D310">
        <v>0</v>
      </c>
    </row>
    <row r="311" spans="1:4" x14ac:dyDescent="0.35">
      <c r="A311">
        <v>310</v>
      </c>
      <c r="B311">
        <v>85.723017035239778</v>
      </c>
      <c r="C311">
        <v>10.723017035239778</v>
      </c>
      <c r="D311">
        <v>0</v>
      </c>
    </row>
    <row r="312" spans="1:4" x14ac:dyDescent="0.35">
      <c r="A312">
        <v>311</v>
      </c>
      <c r="B312">
        <v>83.845039828722875</v>
      </c>
      <c r="C312">
        <v>8.8450398287228751</v>
      </c>
      <c r="D312">
        <v>0</v>
      </c>
    </row>
    <row r="313" spans="1:4" x14ac:dyDescent="0.35">
      <c r="A313">
        <v>312</v>
      </c>
      <c r="B313">
        <v>69.177867808721047</v>
      </c>
      <c r="C313">
        <v>0</v>
      </c>
      <c r="D313">
        <v>5.8221321912789534</v>
      </c>
    </row>
    <row r="314" spans="1:4" x14ac:dyDescent="0.35">
      <c r="A314">
        <v>313</v>
      </c>
      <c r="B314">
        <v>60.516944756164818</v>
      </c>
      <c r="C314">
        <v>0</v>
      </c>
      <c r="D314">
        <v>14.483055243835182</v>
      </c>
    </row>
    <row r="315" spans="1:4" x14ac:dyDescent="0.35">
      <c r="A315">
        <v>314</v>
      </c>
      <c r="B315">
        <v>90.377559631211014</v>
      </c>
      <c r="C315">
        <v>15.377559631211014</v>
      </c>
      <c r="D315">
        <v>0</v>
      </c>
    </row>
    <row r="316" spans="1:4" x14ac:dyDescent="0.35">
      <c r="A316">
        <v>315</v>
      </c>
      <c r="B316">
        <v>80.124170967197813</v>
      </c>
      <c r="C316">
        <v>5.1241709671978128</v>
      </c>
      <c r="D316">
        <v>0</v>
      </c>
    </row>
    <row r="317" spans="1:4" x14ac:dyDescent="0.35">
      <c r="A317">
        <v>316</v>
      </c>
      <c r="B317">
        <v>76.610280341061838</v>
      </c>
      <c r="C317">
        <v>1.6102803410618378</v>
      </c>
      <c r="D317">
        <v>0</v>
      </c>
    </row>
    <row r="318" spans="1:4" x14ac:dyDescent="0.35">
      <c r="A318">
        <v>317</v>
      </c>
      <c r="B318">
        <v>68.801450160245707</v>
      </c>
      <c r="C318">
        <v>0</v>
      </c>
      <c r="D318">
        <v>6.1985498397542926</v>
      </c>
    </row>
    <row r="319" spans="1:4" x14ac:dyDescent="0.35">
      <c r="A319">
        <v>318</v>
      </c>
      <c r="B319">
        <v>52.731285233100699</v>
      </c>
      <c r="C319">
        <v>0</v>
      </c>
      <c r="D319">
        <v>22.268714766899301</v>
      </c>
    </row>
    <row r="320" spans="1:4" x14ac:dyDescent="0.35">
      <c r="A320">
        <v>319</v>
      </c>
      <c r="B320">
        <v>62.21749301258815</v>
      </c>
      <c r="C320">
        <v>0</v>
      </c>
      <c r="D320">
        <v>12.78250698741185</v>
      </c>
    </row>
    <row r="321" spans="1:4" x14ac:dyDescent="0.35">
      <c r="A321">
        <v>320</v>
      </c>
      <c r="B321">
        <v>62.093474112548869</v>
      </c>
      <c r="C321">
        <v>0</v>
      </c>
      <c r="D321">
        <v>12.906525887451131</v>
      </c>
    </row>
    <row r="322" spans="1:4" x14ac:dyDescent="0.35">
      <c r="A322">
        <v>321</v>
      </c>
      <c r="B322">
        <v>71.505380959627175</v>
      </c>
      <c r="C322">
        <v>0</v>
      </c>
      <c r="D322">
        <v>3.4946190403728252</v>
      </c>
    </row>
    <row r="323" spans="1:4" x14ac:dyDescent="0.35">
      <c r="A323">
        <v>322</v>
      </c>
      <c r="B323">
        <v>68.913138262973021</v>
      </c>
      <c r="C323">
        <v>0</v>
      </c>
      <c r="D323">
        <v>6.0868617370269789</v>
      </c>
    </row>
    <row r="324" spans="1:4" x14ac:dyDescent="0.35">
      <c r="A324">
        <v>323</v>
      </c>
      <c r="B324">
        <v>59.774180448894874</v>
      </c>
      <c r="C324">
        <v>0</v>
      </c>
      <c r="D324">
        <v>15.225819551105126</v>
      </c>
    </row>
    <row r="325" spans="1:4" x14ac:dyDescent="0.35">
      <c r="A325">
        <v>324</v>
      </c>
      <c r="B325">
        <v>65.534869993946259</v>
      </c>
      <c r="C325">
        <v>0</v>
      </c>
      <c r="D325">
        <v>9.4651300060537409</v>
      </c>
    </row>
    <row r="326" spans="1:4" x14ac:dyDescent="0.35">
      <c r="A326">
        <v>325</v>
      </c>
      <c r="B326">
        <v>75.038327589830345</v>
      </c>
      <c r="C326">
        <v>3.8327589830345232E-2</v>
      </c>
      <c r="D326">
        <v>0</v>
      </c>
    </row>
    <row r="327" spans="1:4" x14ac:dyDescent="0.35">
      <c r="A327">
        <v>326</v>
      </c>
      <c r="B327">
        <v>82.421032690742706</v>
      </c>
      <c r="C327">
        <v>7.421032690742706</v>
      </c>
      <c r="D327">
        <v>0</v>
      </c>
    </row>
    <row r="328" spans="1:4" x14ac:dyDescent="0.35">
      <c r="A328">
        <v>327</v>
      </c>
      <c r="B328">
        <v>71.209187876648997</v>
      </c>
      <c r="C328">
        <v>0</v>
      </c>
      <c r="D328">
        <v>3.790812123351003</v>
      </c>
    </row>
    <row r="329" spans="1:4" x14ac:dyDescent="0.35">
      <c r="A329">
        <v>328</v>
      </c>
      <c r="B329">
        <v>62.895515476587136</v>
      </c>
      <c r="C329">
        <v>0</v>
      </c>
      <c r="D329">
        <v>12.104484523412864</v>
      </c>
    </row>
    <row r="330" spans="1:4" x14ac:dyDescent="0.35">
      <c r="A330">
        <v>329</v>
      </c>
      <c r="B330">
        <v>85.135109241677782</v>
      </c>
      <c r="C330">
        <v>10.135109241677782</v>
      </c>
      <c r="D330">
        <v>0</v>
      </c>
    </row>
    <row r="331" spans="1:4" x14ac:dyDescent="0.35">
      <c r="A331">
        <v>330</v>
      </c>
      <c r="B331">
        <v>68.076124326233298</v>
      </c>
      <c r="C331">
        <v>0</v>
      </c>
      <c r="D331">
        <v>6.9238756737667018</v>
      </c>
    </row>
    <row r="332" spans="1:4" x14ac:dyDescent="0.35">
      <c r="A332">
        <v>331</v>
      </c>
      <c r="B332">
        <v>66.808677409153091</v>
      </c>
      <c r="C332">
        <v>0</v>
      </c>
      <c r="D332">
        <v>8.1913225908469087</v>
      </c>
    </row>
    <row r="333" spans="1:4" x14ac:dyDescent="0.35">
      <c r="A333">
        <v>332</v>
      </c>
      <c r="B333">
        <v>79.109840859686869</v>
      </c>
      <c r="C333">
        <v>4.1098408596868694</v>
      </c>
      <c r="D333">
        <v>0</v>
      </c>
    </row>
    <row r="334" spans="1:4" x14ac:dyDescent="0.35">
      <c r="A334">
        <v>333</v>
      </c>
      <c r="B334">
        <v>63.852446451523306</v>
      </c>
      <c r="C334">
        <v>0</v>
      </c>
      <c r="D334">
        <v>11.147553548476694</v>
      </c>
    </row>
    <row r="335" spans="1:4" x14ac:dyDescent="0.35">
      <c r="A335">
        <v>334</v>
      </c>
      <c r="B335">
        <v>69.934646773120761</v>
      </c>
      <c r="C335">
        <v>0</v>
      </c>
      <c r="D335">
        <v>5.0653532268792389</v>
      </c>
    </row>
    <row r="336" spans="1:4" x14ac:dyDescent="0.35">
      <c r="A336">
        <v>335</v>
      </c>
      <c r="B336">
        <v>64.393003274373214</v>
      </c>
      <c r="C336">
        <v>0</v>
      </c>
      <c r="D336">
        <v>10.606996725626786</v>
      </c>
    </row>
    <row r="337" spans="1:4" x14ac:dyDescent="0.35">
      <c r="A337">
        <v>336</v>
      </c>
      <c r="B337">
        <v>83.996452400104772</v>
      </c>
      <c r="C337">
        <v>8.9964524001047721</v>
      </c>
      <c r="D337">
        <v>0</v>
      </c>
    </row>
    <row r="338" spans="1:4" x14ac:dyDescent="0.35">
      <c r="A338">
        <v>337</v>
      </c>
      <c r="B338">
        <v>74.132728326993458</v>
      </c>
      <c r="C338">
        <v>0</v>
      </c>
      <c r="D338">
        <v>0.86727167300654173</v>
      </c>
    </row>
    <row r="339" spans="1:4" x14ac:dyDescent="0.35">
      <c r="A339">
        <v>338</v>
      </c>
      <c r="B339">
        <v>68.117113195072832</v>
      </c>
      <c r="C339">
        <v>0</v>
      </c>
      <c r="D339">
        <v>6.8828868049271676</v>
      </c>
    </row>
    <row r="340" spans="1:4" x14ac:dyDescent="0.35">
      <c r="A340">
        <v>339</v>
      </c>
      <c r="B340">
        <v>68.497496118854812</v>
      </c>
      <c r="C340">
        <v>0</v>
      </c>
      <c r="D340">
        <v>6.5025038811451878</v>
      </c>
    </row>
    <row r="341" spans="1:4" x14ac:dyDescent="0.35">
      <c r="A341">
        <v>340</v>
      </c>
      <c r="B341">
        <v>83.00833936925892</v>
      </c>
      <c r="C341">
        <v>8.0083393692589198</v>
      </c>
      <c r="D341">
        <v>0</v>
      </c>
    </row>
    <row r="342" spans="1:4" x14ac:dyDescent="0.35">
      <c r="A342">
        <v>341</v>
      </c>
      <c r="B342">
        <v>73.474025593478842</v>
      </c>
      <c r="C342">
        <v>0</v>
      </c>
      <c r="D342">
        <v>1.5259744065211578</v>
      </c>
    </row>
    <row r="343" spans="1:4" x14ac:dyDescent="0.35">
      <c r="A343">
        <v>342</v>
      </c>
      <c r="B343">
        <v>87.877554211089659</v>
      </c>
      <c r="C343">
        <v>12.877554211089659</v>
      </c>
      <c r="D343">
        <v>0</v>
      </c>
    </row>
    <row r="344" spans="1:4" x14ac:dyDescent="0.35">
      <c r="A344">
        <v>343</v>
      </c>
      <c r="B344">
        <v>71.69446678271369</v>
      </c>
      <c r="C344">
        <v>0</v>
      </c>
      <c r="D344">
        <v>3.3055332172863103</v>
      </c>
    </row>
    <row r="345" spans="1:4" x14ac:dyDescent="0.35">
      <c r="A345">
        <v>344</v>
      </c>
      <c r="B345">
        <v>66.984938248460665</v>
      </c>
      <c r="C345">
        <v>0</v>
      </c>
      <c r="D345">
        <v>8.015061751539335</v>
      </c>
    </row>
    <row r="346" spans="1:4" x14ac:dyDescent="0.35">
      <c r="A346">
        <v>345</v>
      </c>
      <c r="B346">
        <v>83.432146692601805</v>
      </c>
      <c r="C346">
        <v>8.4321466926018047</v>
      </c>
      <c r="D346">
        <v>0</v>
      </c>
    </row>
    <row r="347" spans="1:4" x14ac:dyDescent="0.35">
      <c r="A347">
        <v>346</v>
      </c>
      <c r="B347">
        <v>65.05784015500879</v>
      </c>
      <c r="C347">
        <v>0</v>
      </c>
      <c r="D347">
        <v>9.9421598449912096</v>
      </c>
    </row>
    <row r="348" spans="1:4" x14ac:dyDescent="0.35">
      <c r="A348">
        <v>347</v>
      </c>
      <c r="B348">
        <v>65.071436394742619</v>
      </c>
      <c r="C348">
        <v>0</v>
      </c>
      <c r="D348">
        <v>9.9285636052573807</v>
      </c>
    </row>
    <row r="349" spans="1:4" x14ac:dyDescent="0.35">
      <c r="A349">
        <v>348</v>
      </c>
      <c r="B349">
        <v>62.592872677987316</v>
      </c>
      <c r="C349">
        <v>0</v>
      </c>
      <c r="D349">
        <v>12.407127322012684</v>
      </c>
    </row>
    <row r="350" spans="1:4" x14ac:dyDescent="0.35">
      <c r="A350">
        <v>349</v>
      </c>
      <c r="B350">
        <v>67.416110401432334</v>
      </c>
      <c r="C350">
        <v>0</v>
      </c>
      <c r="D350">
        <v>7.5838895985676658</v>
      </c>
    </row>
    <row r="351" spans="1:4" x14ac:dyDescent="0.35">
      <c r="A351">
        <v>350</v>
      </c>
      <c r="B351">
        <v>47.985615820565371</v>
      </c>
      <c r="C351">
        <v>0</v>
      </c>
      <c r="D351">
        <v>27.014384179434629</v>
      </c>
    </row>
    <row r="352" spans="1:4" x14ac:dyDescent="0.35">
      <c r="A352">
        <v>351</v>
      </c>
      <c r="B352">
        <v>78.101798509340085</v>
      </c>
      <c r="C352">
        <v>3.1017985093400853</v>
      </c>
      <c r="D352">
        <v>0</v>
      </c>
    </row>
    <row r="353" spans="1:4" x14ac:dyDescent="0.35">
      <c r="A353">
        <v>352</v>
      </c>
      <c r="B353">
        <v>82.021661191776047</v>
      </c>
      <c r="C353">
        <v>7.0216611917760474</v>
      </c>
      <c r="D353">
        <v>0</v>
      </c>
    </row>
    <row r="354" spans="1:4" x14ac:dyDescent="0.35">
      <c r="A354">
        <v>353</v>
      </c>
      <c r="B354">
        <v>65.602872119259828</v>
      </c>
      <c r="C354">
        <v>0</v>
      </c>
      <c r="D354">
        <v>9.3971278807401717</v>
      </c>
    </row>
    <row r="355" spans="1:4" x14ac:dyDescent="0.35">
      <c r="A355">
        <v>354</v>
      </c>
      <c r="B355">
        <v>76.818010781051726</v>
      </c>
      <c r="C355">
        <v>1.8180107810517256</v>
      </c>
      <c r="D355">
        <v>0</v>
      </c>
    </row>
    <row r="356" spans="1:4" x14ac:dyDescent="0.35">
      <c r="A356">
        <v>355</v>
      </c>
      <c r="B356">
        <v>68.883135154948818</v>
      </c>
      <c r="C356">
        <v>0</v>
      </c>
      <c r="D356">
        <v>6.1168648450511824</v>
      </c>
    </row>
    <row r="357" spans="1:4" x14ac:dyDescent="0.35">
      <c r="A357">
        <v>356</v>
      </c>
      <c r="B357">
        <v>80.709960303320955</v>
      </c>
      <c r="C357">
        <v>5.7099603033209547</v>
      </c>
      <c r="D357">
        <v>0</v>
      </c>
    </row>
    <row r="358" spans="1:4" x14ac:dyDescent="0.35">
      <c r="A358">
        <v>357</v>
      </c>
      <c r="B358">
        <v>78.082676043055514</v>
      </c>
      <c r="C358">
        <v>3.082676043055514</v>
      </c>
      <c r="D358">
        <v>0</v>
      </c>
    </row>
    <row r="359" spans="1:4" x14ac:dyDescent="0.35">
      <c r="A359">
        <v>358</v>
      </c>
      <c r="B359">
        <v>69.702141390517511</v>
      </c>
      <c r="C359">
        <v>0</v>
      </c>
      <c r="D359">
        <v>5.2978586094824891</v>
      </c>
    </row>
    <row r="360" spans="1:4" x14ac:dyDescent="0.35">
      <c r="A360">
        <v>359</v>
      </c>
      <c r="B360">
        <v>58.347539444384694</v>
      </c>
      <c r="C360">
        <v>0</v>
      </c>
      <c r="D360">
        <v>16.652460555615306</v>
      </c>
    </row>
    <row r="361" spans="1:4" x14ac:dyDescent="0.35">
      <c r="A361">
        <v>360</v>
      </c>
      <c r="B361">
        <v>69.027473602641891</v>
      </c>
      <c r="C361">
        <v>0</v>
      </c>
      <c r="D361">
        <v>5.9725263973581093</v>
      </c>
    </row>
    <row r="362" spans="1:4" x14ac:dyDescent="0.35">
      <c r="A362">
        <v>361</v>
      </c>
      <c r="B362">
        <v>67.220509605098769</v>
      </c>
      <c r="C362">
        <v>0</v>
      </c>
      <c r="D362">
        <v>7.7794903949012308</v>
      </c>
    </row>
    <row r="363" spans="1:4" x14ac:dyDescent="0.35">
      <c r="A363">
        <v>362</v>
      </c>
      <c r="B363">
        <v>77.056978198894754</v>
      </c>
      <c r="C363">
        <v>2.056978198894754</v>
      </c>
      <c r="D363">
        <v>0</v>
      </c>
    </row>
    <row r="364" spans="1:4" x14ac:dyDescent="0.35">
      <c r="A364">
        <v>363</v>
      </c>
      <c r="B364">
        <v>66.511912995115594</v>
      </c>
      <c r="C364">
        <v>0</v>
      </c>
      <c r="D364">
        <v>8.4880870048844059</v>
      </c>
    </row>
    <row r="365" spans="1:4" x14ac:dyDescent="0.35">
      <c r="A365">
        <v>364</v>
      </c>
      <c r="B365">
        <v>80.183378405644618</v>
      </c>
      <c r="C365">
        <v>5.1833784056446177</v>
      </c>
      <c r="D365">
        <v>0</v>
      </c>
    </row>
    <row r="366" spans="1:4" x14ac:dyDescent="0.35">
      <c r="A366">
        <v>365</v>
      </c>
      <c r="B366">
        <v>61.642531680708217</v>
      </c>
      <c r="C366">
        <v>0</v>
      </c>
      <c r="D366">
        <v>13.357468319291783</v>
      </c>
    </row>
    <row r="367" spans="1:4" x14ac:dyDescent="0.35">
      <c r="A367">
        <v>366</v>
      </c>
      <c r="B367">
        <v>73.662056659880221</v>
      </c>
      <c r="C367">
        <v>0</v>
      </c>
      <c r="D367">
        <v>1.3379433401197787</v>
      </c>
    </row>
    <row r="368" spans="1:4" x14ac:dyDescent="0.35">
      <c r="A368">
        <v>367</v>
      </c>
      <c r="B368">
        <v>90.658342476050166</v>
      </c>
      <c r="C368">
        <v>15.658342476050166</v>
      </c>
      <c r="D368">
        <v>0</v>
      </c>
    </row>
    <row r="369" spans="1:4" x14ac:dyDescent="0.35">
      <c r="A369">
        <v>368</v>
      </c>
      <c r="B369">
        <v>64.601361758284</v>
      </c>
      <c r="C369">
        <v>0</v>
      </c>
      <c r="D369">
        <v>10.398638241716</v>
      </c>
    </row>
    <row r="370" spans="1:4" x14ac:dyDescent="0.35">
      <c r="A370">
        <v>369</v>
      </c>
      <c r="B370">
        <v>88.711448224899968</v>
      </c>
      <c r="C370">
        <v>13.711448224899968</v>
      </c>
      <c r="D370">
        <v>0</v>
      </c>
    </row>
    <row r="371" spans="1:4" x14ac:dyDescent="0.35">
      <c r="A371">
        <v>370</v>
      </c>
      <c r="B371">
        <v>60.14213181432762</v>
      </c>
      <c r="C371">
        <v>0</v>
      </c>
      <c r="D371">
        <v>14.85786818567238</v>
      </c>
    </row>
    <row r="372" spans="1:4" x14ac:dyDescent="0.35">
      <c r="A372">
        <v>371</v>
      </c>
      <c r="B372">
        <v>96.486844197737483</v>
      </c>
      <c r="C372">
        <v>21.486844197737483</v>
      </c>
      <c r="D372">
        <v>0</v>
      </c>
    </row>
    <row r="373" spans="1:4" x14ac:dyDescent="0.35">
      <c r="A373">
        <v>372</v>
      </c>
      <c r="B373">
        <v>74.754755310187136</v>
      </c>
      <c r="C373">
        <v>0</v>
      </c>
      <c r="D373">
        <v>0.24524468981286418</v>
      </c>
    </row>
    <row r="374" spans="1:4" x14ac:dyDescent="0.35">
      <c r="A374">
        <v>373</v>
      </c>
      <c r="B374">
        <v>73.819392287600195</v>
      </c>
      <c r="C374">
        <v>0</v>
      </c>
      <c r="D374">
        <v>1.1806077123998051</v>
      </c>
    </row>
    <row r="375" spans="1:4" x14ac:dyDescent="0.35">
      <c r="A375">
        <v>374</v>
      </c>
      <c r="B375">
        <v>85.54188275471634</v>
      </c>
      <c r="C375">
        <v>10.54188275471634</v>
      </c>
      <c r="D375">
        <v>0</v>
      </c>
    </row>
    <row r="376" spans="1:4" x14ac:dyDescent="0.35">
      <c r="A376">
        <v>375</v>
      </c>
      <c r="B376">
        <v>73.181258276770834</v>
      </c>
      <c r="C376">
        <v>0</v>
      </c>
      <c r="D376">
        <v>1.8187417232291665</v>
      </c>
    </row>
    <row r="377" spans="1:4" x14ac:dyDescent="0.35">
      <c r="A377">
        <v>376</v>
      </c>
      <c r="B377">
        <v>64.660166143808254</v>
      </c>
      <c r="C377">
        <v>0</v>
      </c>
      <c r="D377">
        <v>10.339833856191746</v>
      </c>
    </row>
    <row r="378" spans="1:4" x14ac:dyDescent="0.35">
      <c r="A378">
        <v>377</v>
      </c>
      <c r="B378">
        <v>82.985870864132451</v>
      </c>
      <c r="C378">
        <v>7.9858708641324512</v>
      </c>
      <c r="D378">
        <v>0</v>
      </c>
    </row>
    <row r="379" spans="1:4" x14ac:dyDescent="0.35">
      <c r="A379">
        <v>378</v>
      </c>
      <c r="B379">
        <v>58.174354364775162</v>
      </c>
      <c r="C379">
        <v>0</v>
      </c>
      <c r="D379">
        <v>16.825645635224838</v>
      </c>
    </row>
    <row r="380" spans="1:4" x14ac:dyDescent="0.35">
      <c r="A380">
        <v>379</v>
      </c>
      <c r="B380">
        <v>69.731114599490056</v>
      </c>
      <c r="C380">
        <v>0</v>
      </c>
      <c r="D380">
        <v>5.2688854005099444</v>
      </c>
    </row>
    <row r="381" spans="1:4" x14ac:dyDescent="0.35">
      <c r="A381">
        <v>380</v>
      </c>
      <c r="B381">
        <v>78.716680378905863</v>
      </c>
      <c r="C381">
        <v>3.7166803789058633</v>
      </c>
      <c r="D381">
        <v>0</v>
      </c>
    </row>
    <row r="382" spans="1:4" x14ac:dyDescent="0.35">
      <c r="A382">
        <v>381</v>
      </c>
      <c r="B382">
        <v>64.674788063497004</v>
      </c>
      <c r="C382">
        <v>0</v>
      </c>
      <c r="D382">
        <v>10.325211936502996</v>
      </c>
    </row>
    <row r="383" spans="1:4" x14ac:dyDescent="0.35">
      <c r="A383">
        <v>382</v>
      </c>
      <c r="B383">
        <v>68.222716373246342</v>
      </c>
      <c r="C383">
        <v>0</v>
      </c>
      <c r="D383">
        <v>6.7772836267536576</v>
      </c>
    </row>
    <row r="384" spans="1:4" x14ac:dyDescent="0.35">
      <c r="A384">
        <v>383</v>
      </c>
      <c r="B384">
        <v>68.6920596910618</v>
      </c>
      <c r="C384">
        <v>0</v>
      </c>
      <c r="D384">
        <v>6.3079403089381998</v>
      </c>
    </row>
    <row r="385" spans="1:4" x14ac:dyDescent="0.35">
      <c r="A385">
        <v>384</v>
      </c>
      <c r="B385">
        <v>71.932776484382089</v>
      </c>
      <c r="C385">
        <v>0</v>
      </c>
      <c r="D385">
        <v>3.0672235156179113</v>
      </c>
    </row>
    <row r="386" spans="1:4" x14ac:dyDescent="0.35">
      <c r="A386">
        <v>385</v>
      </c>
      <c r="B386">
        <v>65.375031646549658</v>
      </c>
      <c r="C386">
        <v>0</v>
      </c>
      <c r="D386">
        <v>9.6249683534503419</v>
      </c>
    </row>
    <row r="387" spans="1:4" x14ac:dyDescent="0.35">
      <c r="A387">
        <v>386</v>
      </c>
      <c r="B387">
        <v>73.347781863891512</v>
      </c>
      <c r="C387">
        <v>0</v>
      </c>
      <c r="D387">
        <v>1.6522181361084876</v>
      </c>
    </row>
    <row r="388" spans="1:4" x14ac:dyDescent="0.35">
      <c r="A388">
        <v>387</v>
      </c>
      <c r="B388">
        <v>63.596516225624072</v>
      </c>
      <c r="C388">
        <v>0</v>
      </c>
      <c r="D388">
        <v>11.403483774375928</v>
      </c>
    </row>
    <row r="389" spans="1:4" x14ac:dyDescent="0.35">
      <c r="A389">
        <v>388</v>
      </c>
      <c r="B389">
        <v>58.388474868044092</v>
      </c>
      <c r="C389">
        <v>0</v>
      </c>
      <c r="D389">
        <v>16.611525131955908</v>
      </c>
    </row>
    <row r="390" spans="1:4" x14ac:dyDescent="0.35">
      <c r="A390">
        <v>389</v>
      </c>
      <c r="B390">
        <v>85.057374165391749</v>
      </c>
      <c r="C390">
        <v>10.057374165391749</v>
      </c>
      <c r="D390">
        <v>0</v>
      </c>
    </row>
    <row r="391" spans="1:4" x14ac:dyDescent="0.35">
      <c r="A391">
        <v>390</v>
      </c>
      <c r="B391">
        <v>60.013965149702948</v>
      </c>
      <c r="C391">
        <v>0</v>
      </c>
      <c r="D391">
        <v>14.986034850297052</v>
      </c>
    </row>
    <row r="392" spans="1:4" x14ac:dyDescent="0.35">
      <c r="A392">
        <v>391</v>
      </c>
      <c r="B392">
        <v>75.3045189379622</v>
      </c>
      <c r="C392">
        <v>0.3045189379622002</v>
      </c>
      <c r="D392">
        <v>0</v>
      </c>
    </row>
    <row r="393" spans="1:4" x14ac:dyDescent="0.35">
      <c r="A393">
        <v>392</v>
      </c>
      <c r="B393">
        <v>85.386808715560193</v>
      </c>
      <c r="C393">
        <v>10.386808715560193</v>
      </c>
      <c r="D393">
        <v>0</v>
      </c>
    </row>
    <row r="394" spans="1:4" x14ac:dyDescent="0.35">
      <c r="A394">
        <v>393</v>
      </c>
      <c r="B394">
        <v>64.261929720519944</v>
      </c>
      <c r="C394">
        <v>0</v>
      </c>
      <c r="D394">
        <v>10.738070279480056</v>
      </c>
    </row>
    <row r="395" spans="1:4" x14ac:dyDescent="0.35">
      <c r="A395">
        <v>394</v>
      </c>
      <c r="B395">
        <v>89.836135713306831</v>
      </c>
      <c r="C395">
        <v>14.836135713306831</v>
      </c>
      <c r="D395">
        <v>0</v>
      </c>
    </row>
    <row r="396" spans="1:4" x14ac:dyDescent="0.35">
      <c r="A396">
        <v>395</v>
      </c>
      <c r="B396">
        <v>82.277571429483316</v>
      </c>
      <c r="C396">
        <v>7.2775714294833165</v>
      </c>
      <c r="D396">
        <v>0</v>
      </c>
    </row>
    <row r="397" spans="1:4" x14ac:dyDescent="0.35">
      <c r="A397">
        <v>396</v>
      </c>
      <c r="B397">
        <v>69.790675591733077</v>
      </c>
      <c r="C397">
        <v>0</v>
      </c>
      <c r="D397">
        <v>5.209324408266923</v>
      </c>
    </row>
    <row r="398" spans="1:4" x14ac:dyDescent="0.35">
      <c r="A398">
        <v>397</v>
      </c>
      <c r="B398">
        <v>71.059353043173417</v>
      </c>
      <c r="C398">
        <v>0</v>
      </c>
      <c r="D398">
        <v>3.9406469568265834</v>
      </c>
    </row>
    <row r="399" spans="1:4" x14ac:dyDescent="0.35">
      <c r="A399">
        <v>398</v>
      </c>
      <c r="B399">
        <v>79.061157343746657</v>
      </c>
      <c r="C399">
        <v>4.0611573437466575</v>
      </c>
      <c r="D399">
        <v>0</v>
      </c>
    </row>
    <row r="400" spans="1:4" x14ac:dyDescent="0.35">
      <c r="A400">
        <v>399</v>
      </c>
      <c r="B400">
        <v>81.739834798714725</v>
      </c>
      <c r="C400">
        <v>6.7398347987147247</v>
      </c>
      <c r="D400">
        <v>0</v>
      </c>
    </row>
    <row r="401" spans="1:4" x14ac:dyDescent="0.35">
      <c r="A401">
        <v>400</v>
      </c>
      <c r="B401">
        <v>68.322803689180319</v>
      </c>
      <c r="C401">
        <v>0</v>
      </c>
      <c r="D401">
        <v>6.6771963108196815</v>
      </c>
    </row>
    <row r="402" spans="1:4" x14ac:dyDescent="0.35">
      <c r="A402">
        <v>401</v>
      </c>
      <c r="B402">
        <v>63.148126913621596</v>
      </c>
      <c r="C402">
        <v>0</v>
      </c>
      <c r="D402">
        <v>11.851873086378404</v>
      </c>
    </row>
    <row r="403" spans="1:4" x14ac:dyDescent="0.35">
      <c r="A403">
        <v>402</v>
      </c>
      <c r="B403">
        <v>66.876793873419373</v>
      </c>
      <c r="C403">
        <v>0</v>
      </c>
      <c r="D403">
        <v>8.1232061265806266</v>
      </c>
    </row>
    <row r="404" spans="1:4" x14ac:dyDescent="0.35">
      <c r="A404">
        <v>403</v>
      </c>
      <c r="B404">
        <v>69.092521442236645</v>
      </c>
      <c r="C404">
        <v>0</v>
      </c>
      <c r="D404">
        <v>5.9074785577633548</v>
      </c>
    </row>
    <row r="405" spans="1:4" x14ac:dyDescent="0.35">
      <c r="A405">
        <v>404</v>
      </c>
      <c r="B405">
        <v>61.676503737212741</v>
      </c>
      <c r="C405">
        <v>0</v>
      </c>
      <c r="D405">
        <v>13.323496262787259</v>
      </c>
    </row>
    <row r="406" spans="1:4" x14ac:dyDescent="0.35">
      <c r="A406">
        <v>405</v>
      </c>
      <c r="B406">
        <v>74.390053819836282</v>
      </c>
      <c r="C406">
        <v>0</v>
      </c>
      <c r="D406">
        <v>0.6099461801637176</v>
      </c>
    </row>
    <row r="407" spans="1:4" x14ac:dyDescent="0.35">
      <c r="A407">
        <v>406</v>
      </c>
      <c r="B407">
        <v>59.458601147219397</v>
      </c>
      <c r="C407">
        <v>0</v>
      </c>
      <c r="D407">
        <v>15.541398852780603</v>
      </c>
    </row>
    <row r="408" spans="1:4" x14ac:dyDescent="0.35">
      <c r="A408">
        <v>407</v>
      </c>
      <c r="B408">
        <v>63.450958146201806</v>
      </c>
      <c r="C408">
        <v>0</v>
      </c>
      <c r="D408">
        <v>11.549041853798194</v>
      </c>
    </row>
    <row r="409" spans="1:4" x14ac:dyDescent="0.35">
      <c r="A409">
        <v>408</v>
      </c>
      <c r="B409">
        <v>76.494365806287931</v>
      </c>
      <c r="C409">
        <v>1.4943658062879308</v>
      </c>
      <c r="D409">
        <v>0</v>
      </c>
    </row>
    <row r="410" spans="1:4" x14ac:dyDescent="0.35">
      <c r="A410">
        <v>409</v>
      </c>
      <c r="B410">
        <v>71.372609744186633</v>
      </c>
      <c r="C410">
        <v>0</v>
      </c>
      <c r="D410">
        <v>3.627390255813367</v>
      </c>
    </row>
    <row r="411" spans="1:4" x14ac:dyDescent="0.35">
      <c r="A411">
        <v>410</v>
      </c>
      <c r="B411">
        <v>62.739904870868955</v>
      </c>
      <c r="C411">
        <v>0</v>
      </c>
      <c r="D411">
        <v>12.260095129131045</v>
      </c>
    </row>
    <row r="412" spans="1:4" x14ac:dyDescent="0.35">
      <c r="A412">
        <v>411</v>
      </c>
      <c r="B412">
        <v>99.689434007482177</v>
      </c>
      <c r="C412">
        <v>24.689434007482177</v>
      </c>
      <c r="D412">
        <v>0</v>
      </c>
    </row>
    <row r="413" spans="1:4" x14ac:dyDescent="0.35">
      <c r="A413">
        <v>412</v>
      </c>
      <c r="B413">
        <v>70.543224795074451</v>
      </c>
      <c r="C413">
        <v>0</v>
      </c>
      <c r="D413">
        <v>4.4567752049255489</v>
      </c>
    </row>
    <row r="414" spans="1:4" x14ac:dyDescent="0.35">
      <c r="A414">
        <v>413</v>
      </c>
      <c r="B414">
        <v>49.051374934871795</v>
      </c>
      <c r="C414">
        <v>0</v>
      </c>
      <c r="D414">
        <v>25.948625065128205</v>
      </c>
    </row>
    <row r="415" spans="1:4" x14ac:dyDescent="0.35">
      <c r="A415">
        <v>414</v>
      </c>
      <c r="B415">
        <v>69.407554747705092</v>
      </c>
      <c r="C415">
        <v>0</v>
      </c>
      <c r="D415">
        <v>5.5924452522949082</v>
      </c>
    </row>
    <row r="416" spans="1:4" x14ac:dyDescent="0.35">
      <c r="A416">
        <v>415</v>
      </c>
      <c r="B416">
        <v>65.879866091835154</v>
      </c>
      <c r="C416">
        <v>0</v>
      </c>
      <c r="D416">
        <v>9.1201339081648456</v>
      </c>
    </row>
    <row r="417" spans="1:4" x14ac:dyDescent="0.35">
      <c r="A417">
        <v>416</v>
      </c>
      <c r="B417">
        <v>78.453987899046609</v>
      </c>
      <c r="C417">
        <v>3.4539878990466093</v>
      </c>
      <c r="D417">
        <v>0</v>
      </c>
    </row>
    <row r="418" spans="1:4" x14ac:dyDescent="0.35">
      <c r="A418">
        <v>417</v>
      </c>
      <c r="B418">
        <v>84.78618581624238</v>
      </c>
      <c r="C418">
        <v>9.78618581624238</v>
      </c>
      <c r="D418">
        <v>0</v>
      </c>
    </row>
    <row r="419" spans="1:4" x14ac:dyDescent="0.35">
      <c r="A419">
        <v>418</v>
      </c>
      <c r="B419">
        <v>81.155286561953417</v>
      </c>
      <c r="C419">
        <v>6.1552865619534174</v>
      </c>
      <c r="D419">
        <v>0</v>
      </c>
    </row>
    <row r="420" spans="1:4" x14ac:dyDescent="0.35">
      <c r="A420">
        <v>419</v>
      </c>
      <c r="B420">
        <v>62.531700887639765</v>
      </c>
      <c r="C420">
        <v>0</v>
      </c>
      <c r="D420">
        <v>12.468299112360235</v>
      </c>
    </row>
    <row r="421" spans="1:4" x14ac:dyDescent="0.35">
      <c r="A421">
        <v>420</v>
      </c>
      <c r="B421">
        <v>59.895117443159037</v>
      </c>
      <c r="C421">
        <v>0</v>
      </c>
      <c r="D421">
        <v>15.104882556840963</v>
      </c>
    </row>
    <row r="422" spans="1:4" x14ac:dyDescent="0.35">
      <c r="A422">
        <v>421</v>
      </c>
      <c r="B422">
        <v>51.421900324790066</v>
      </c>
      <c r="C422">
        <v>0</v>
      </c>
      <c r="D422">
        <v>23.578099675209934</v>
      </c>
    </row>
    <row r="423" spans="1:4" x14ac:dyDescent="0.35">
      <c r="A423">
        <v>422</v>
      </c>
      <c r="B423">
        <v>61.638862384389036</v>
      </c>
      <c r="C423">
        <v>0</v>
      </c>
      <c r="D423">
        <v>13.361137615610964</v>
      </c>
    </row>
    <row r="424" spans="1:4" x14ac:dyDescent="0.35">
      <c r="A424">
        <v>423</v>
      </c>
      <c r="B424">
        <v>68.192412269619595</v>
      </c>
      <c r="C424">
        <v>0</v>
      </c>
      <c r="D424">
        <v>6.8075877303804049</v>
      </c>
    </row>
    <row r="425" spans="1:4" x14ac:dyDescent="0.35">
      <c r="A425">
        <v>424</v>
      </c>
      <c r="B425">
        <v>62.90724332593183</v>
      </c>
      <c r="C425">
        <v>0</v>
      </c>
      <c r="D425">
        <v>12.09275667406817</v>
      </c>
    </row>
    <row r="426" spans="1:4" x14ac:dyDescent="0.35">
      <c r="A426">
        <v>425</v>
      </c>
      <c r="B426">
        <v>95.048031213184515</v>
      </c>
      <c r="C426">
        <v>20.048031213184515</v>
      </c>
      <c r="D426">
        <v>0</v>
      </c>
    </row>
    <row r="427" spans="1:4" x14ac:dyDescent="0.35">
      <c r="A427">
        <v>426</v>
      </c>
      <c r="B427">
        <v>83.636364197685211</v>
      </c>
      <c r="C427">
        <v>8.6363641976852108</v>
      </c>
      <c r="D427">
        <v>0</v>
      </c>
    </row>
    <row r="428" spans="1:4" x14ac:dyDescent="0.35">
      <c r="A428">
        <v>427</v>
      </c>
      <c r="B428">
        <v>73.356416903462417</v>
      </c>
      <c r="C428">
        <v>0</v>
      </c>
      <c r="D428">
        <v>1.6435830965375828</v>
      </c>
    </row>
    <row r="429" spans="1:4" x14ac:dyDescent="0.35">
      <c r="A429">
        <v>428</v>
      </c>
      <c r="B429">
        <v>77.667741966127011</v>
      </c>
      <c r="C429">
        <v>2.6677419661270108</v>
      </c>
      <c r="D429">
        <v>0</v>
      </c>
    </row>
    <row r="430" spans="1:4" x14ac:dyDescent="0.35">
      <c r="A430">
        <v>429</v>
      </c>
      <c r="B430">
        <v>61.3895089915545</v>
      </c>
      <c r="C430">
        <v>0</v>
      </c>
      <c r="D430">
        <v>13.6104910084455</v>
      </c>
    </row>
    <row r="431" spans="1:4" x14ac:dyDescent="0.35">
      <c r="A431">
        <v>430</v>
      </c>
      <c r="B431">
        <v>65.021815381989072</v>
      </c>
      <c r="C431">
        <v>0</v>
      </c>
      <c r="D431">
        <v>9.9781846180109284</v>
      </c>
    </row>
    <row r="432" spans="1:4" x14ac:dyDescent="0.35">
      <c r="A432">
        <v>431</v>
      </c>
      <c r="B432">
        <v>54.466932175096673</v>
      </c>
      <c r="C432">
        <v>0</v>
      </c>
      <c r="D432">
        <v>20.533067824903327</v>
      </c>
    </row>
    <row r="433" spans="1:4" x14ac:dyDescent="0.35">
      <c r="A433">
        <v>432</v>
      </c>
      <c r="B433">
        <v>81.420388388648533</v>
      </c>
      <c r="C433">
        <v>6.4203883886485329</v>
      </c>
      <c r="D433">
        <v>0</v>
      </c>
    </row>
    <row r="434" spans="1:4" x14ac:dyDescent="0.35">
      <c r="A434">
        <v>433</v>
      </c>
      <c r="B434">
        <v>79.579944594309467</v>
      </c>
      <c r="C434">
        <v>4.5799445943094668</v>
      </c>
      <c r="D434">
        <v>0</v>
      </c>
    </row>
    <row r="435" spans="1:4" x14ac:dyDescent="0.35">
      <c r="A435">
        <v>434</v>
      </c>
      <c r="B435">
        <v>79.881015791463838</v>
      </c>
      <c r="C435">
        <v>4.8810157914638381</v>
      </c>
      <c r="D435">
        <v>0</v>
      </c>
    </row>
    <row r="436" spans="1:4" x14ac:dyDescent="0.35">
      <c r="A436">
        <v>435</v>
      </c>
      <c r="B436">
        <v>67.04716445625192</v>
      </c>
      <c r="C436">
        <v>0</v>
      </c>
      <c r="D436">
        <v>7.9528355437480798</v>
      </c>
    </row>
    <row r="437" spans="1:4" x14ac:dyDescent="0.35">
      <c r="A437">
        <v>436</v>
      </c>
      <c r="B437">
        <v>70.033070069608954</v>
      </c>
      <c r="C437">
        <v>0</v>
      </c>
      <c r="D437">
        <v>4.9669299303910464</v>
      </c>
    </row>
    <row r="438" spans="1:4" x14ac:dyDescent="0.35">
      <c r="A438">
        <v>437</v>
      </c>
      <c r="B438">
        <v>72.665597083614358</v>
      </c>
      <c r="C438">
        <v>0</v>
      </c>
      <c r="D438">
        <v>2.3344029163856419</v>
      </c>
    </row>
    <row r="439" spans="1:4" x14ac:dyDescent="0.35">
      <c r="A439">
        <v>438</v>
      </c>
      <c r="B439">
        <v>80.368082437208699</v>
      </c>
      <c r="C439">
        <v>5.3680824372086988</v>
      </c>
      <c r="D439">
        <v>0</v>
      </c>
    </row>
    <row r="440" spans="1:4" x14ac:dyDescent="0.35">
      <c r="A440">
        <v>439</v>
      </c>
      <c r="B440">
        <v>72.896351928848759</v>
      </c>
      <c r="C440">
        <v>0</v>
      </c>
      <c r="D440">
        <v>2.1036480711512411</v>
      </c>
    </row>
    <row r="441" spans="1:4" x14ac:dyDescent="0.35">
      <c r="A441">
        <v>440</v>
      </c>
      <c r="B441">
        <v>63.404785122139046</v>
      </c>
      <c r="C441">
        <v>0</v>
      </c>
      <c r="D441">
        <v>11.595214877860954</v>
      </c>
    </row>
    <row r="442" spans="1:4" x14ac:dyDescent="0.35">
      <c r="A442">
        <v>441</v>
      </c>
      <c r="B442">
        <v>63.530835640919705</v>
      </c>
      <c r="C442">
        <v>0</v>
      </c>
      <c r="D442">
        <v>11.469164359080295</v>
      </c>
    </row>
    <row r="443" spans="1:4" x14ac:dyDescent="0.35">
      <c r="A443">
        <v>442</v>
      </c>
      <c r="B443">
        <v>67.869746545653328</v>
      </c>
      <c r="C443">
        <v>0</v>
      </c>
      <c r="D443">
        <v>7.130253454346672</v>
      </c>
    </row>
    <row r="444" spans="1:4" x14ac:dyDescent="0.35">
      <c r="A444">
        <v>443</v>
      </c>
      <c r="B444">
        <v>73.145876746958393</v>
      </c>
      <c r="C444">
        <v>0</v>
      </c>
      <c r="D444">
        <v>1.8541232530416067</v>
      </c>
    </row>
    <row r="445" spans="1:4" x14ac:dyDescent="0.35">
      <c r="A445">
        <v>444</v>
      </c>
      <c r="B445">
        <v>67.344608726698723</v>
      </c>
      <c r="C445">
        <v>0</v>
      </c>
      <c r="D445">
        <v>7.6553912733012766</v>
      </c>
    </row>
    <row r="446" spans="1:4" x14ac:dyDescent="0.35">
      <c r="A446">
        <v>445</v>
      </c>
      <c r="B446">
        <v>71.974975088867581</v>
      </c>
      <c r="C446">
        <v>0</v>
      </c>
      <c r="D446">
        <v>3.0250249111324194</v>
      </c>
    </row>
    <row r="447" spans="1:4" x14ac:dyDescent="0.35">
      <c r="A447">
        <v>446</v>
      </c>
      <c r="B447">
        <v>69.398466036398844</v>
      </c>
      <c r="C447">
        <v>0</v>
      </c>
      <c r="D447">
        <v>5.6015339636011561</v>
      </c>
    </row>
    <row r="448" spans="1:4" x14ac:dyDescent="0.35">
      <c r="A448">
        <v>447</v>
      </c>
      <c r="B448">
        <v>73.132575839991802</v>
      </c>
      <c r="C448">
        <v>0</v>
      </c>
      <c r="D448">
        <v>1.8674241600081984</v>
      </c>
    </row>
    <row r="449" spans="1:4" x14ac:dyDescent="0.35">
      <c r="A449">
        <v>448</v>
      </c>
      <c r="B449">
        <v>56.521635342509491</v>
      </c>
      <c r="C449">
        <v>0</v>
      </c>
      <c r="D449">
        <v>18.478364657490509</v>
      </c>
    </row>
    <row r="450" spans="1:4" x14ac:dyDescent="0.35">
      <c r="A450">
        <v>449</v>
      </c>
      <c r="B450">
        <v>72.471402855362385</v>
      </c>
      <c r="C450">
        <v>0</v>
      </c>
      <c r="D450">
        <v>2.5285971446376152</v>
      </c>
    </row>
    <row r="451" spans="1:4" x14ac:dyDescent="0.35">
      <c r="A451">
        <v>450</v>
      </c>
      <c r="B451">
        <v>63.496131657064758</v>
      </c>
      <c r="C451">
        <v>0</v>
      </c>
      <c r="D451">
        <v>11.503868342935242</v>
      </c>
    </row>
    <row r="452" spans="1:4" x14ac:dyDescent="0.35">
      <c r="A452">
        <v>451</v>
      </c>
      <c r="B452">
        <v>91.609325707201776</v>
      </c>
      <c r="C452">
        <v>16.609325707201776</v>
      </c>
      <c r="D452">
        <v>0</v>
      </c>
    </row>
    <row r="453" spans="1:4" x14ac:dyDescent="0.35">
      <c r="A453">
        <v>452</v>
      </c>
      <c r="B453">
        <v>88.018952714607181</v>
      </c>
      <c r="C453">
        <v>13.018952714607181</v>
      </c>
      <c r="D453">
        <v>0</v>
      </c>
    </row>
    <row r="454" spans="1:4" x14ac:dyDescent="0.35">
      <c r="A454">
        <v>453</v>
      </c>
      <c r="B454">
        <v>100.44201331966889</v>
      </c>
      <c r="C454">
        <v>25.442013319668888</v>
      </c>
      <c r="D454">
        <v>0</v>
      </c>
    </row>
    <row r="455" spans="1:4" x14ac:dyDescent="0.35">
      <c r="A455">
        <v>454</v>
      </c>
      <c r="B455">
        <v>81.959828055406334</v>
      </c>
      <c r="C455">
        <v>6.9598280554063336</v>
      </c>
      <c r="D455">
        <v>0</v>
      </c>
    </row>
    <row r="456" spans="1:4" x14ac:dyDescent="0.35">
      <c r="A456">
        <v>455</v>
      </c>
      <c r="B456">
        <v>68.994744370708617</v>
      </c>
      <c r="C456">
        <v>0</v>
      </c>
      <c r="D456">
        <v>6.0052556292913835</v>
      </c>
    </row>
    <row r="457" spans="1:4" x14ac:dyDescent="0.35">
      <c r="A457">
        <v>456</v>
      </c>
      <c r="B457">
        <v>80.447845643852531</v>
      </c>
      <c r="C457">
        <v>5.4478456438525313</v>
      </c>
      <c r="D457">
        <v>0</v>
      </c>
    </row>
    <row r="458" spans="1:4" x14ac:dyDescent="0.35">
      <c r="A458">
        <v>457</v>
      </c>
      <c r="B458">
        <v>98.612278657517052</v>
      </c>
      <c r="C458">
        <v>23.612278657517052</v>
      </c>
      <c r="D458">
        <v>0</v>
      </c>
    </row>
    <row r="459" spans="1:4" x14ac:dyDescent="0.35">
      <c r="A459">
        <v>458</v>
      </c>
      <c r="B459">
        <v>65.04030639471415</v>
      </c>
      <c r="C459">
        <v>0</v>
      </c>
      <c r="D459">
        <v>9.9596936052858496</v>
      </c>
    </row>
    <row r="460" spans="1:4" x14ac:dyDescent="0.35">
      <c r="A460">
        <v>459</v>
      </c>
      <c r="B460">
        <v>62.449824225593119</v>
      </c>
      <c r="C460">
        <v>0</v>
      </c>
      <c r="D460">
        <v>12.550175774406881</v>
      </c>
    </row>
    <row r="461" spans="1:4" x14ac:dyDescent="0.35">
      <c r="A461">
        <v>460</v>
      </c>
      <c r="B461">
        <v>76.558565024038074</v>
      </c>
      <c r="C461">
        <v>1.5585650240380744</v>
      </c>
      <c r="D461">
        <v>0</v>
      </c>
    </row>
    <row r="462" spans="1:4" x14ac:dyDescent="0.35">
      <c r="A462">
        <v>461</v>
      </c>
      <c r="B462">
        <v>52.855459246669561</v>
      </c>
      <c r="C462">
        <v>0</v>
      </c>
      <c r="D462">
        <v>22.144540753330439</v>
      </c>
    </row>
    <row r="463" spans="1:4" x14ac:dyDescent="0.35">
      <c r="A463">
        <v>462</v>
      </c>
      <c r="B463">
        <v>67.213149206817846</v>
      </c>
      <c r="C463">
        <v>0</v>
      </c>
      <c r="D463">
        <v>7.786850793182154</v>
      </c>
    </row>
    <row r="464" spans="1:4" x14ac:dyDescent="0.35">
      <c r="A464">
        <v>463</v>
      </c>
      <c r="B464">
        <v>76.495288773597323</v>
      </c>
      <c r="C464">
        <v>1.4952887735973235</v>
      </c>
      <c r="D464">
        <v>0</v>
      </c>
    </row>
    <row r="465" spans="1:4" x14ac:dyDescent="0.35">
      <c r="A465">
        <v>464</v>
      </c>
      <c r="B465">
        <v>59.967215215674408</v>
      </c>
      <c r="C465">
        <v>0</v>
      </c>
      <c r="D465">
        <v>15.032784784325592</v>
      </c>
    </row>
    <row r="466" spans="1:4" x14ac:dyDescent="0.35">
      <c r="A466">
        <v>465</v>
      </c>
      <c r="B466">
        <v>59.93809971018468</v>
      </c>
      <c r="C466">
        <v>0</v>
      </c>
      <c r="D466">
        <v>15.06190028981532</v>
      </c>
    </row>
    <row r="467" spans="1:4" x14ac:dyDescent="0.35">
      <c r="A467">
        <v>466</v>
      </c>
      <c r="B467">
        <v>65.930362331870498</v>
      </c>
      <c r="C467">
        <v>0</v>
      </c>
      <c r="D467">
        <v>9.0696376681295021</v>
      </c>
    </row>
    <row r="468" spans="1:4" x14ac:dyDescent="0.35">
      <c r="A468">
        <v>467</v>
      </c>
      <c r="B468">
        <v>68.733083848477406</v>
      </c>
      <c r="C468">
        <v>0</v>
      </c>
      <c r="D468">
        <v>6.2669161515225937</v>
      </c>
    </row>
    <row r="469" spans="1:4" x14ac:dyDescent="0.35">
      <c r="A469">
        <v>468</v>
      </c>
      <c r="B469">
        <v>72.767034699974644</v>
      </c>
      <c r="C469">
        <v>0</v>
      </c>
      <c r="D469">
        <v>2.2329653000253558</v>
      </c>
    </row>
    <row r="470" spans="1:4" x14ac:dyDescent="0.35">
      <c r="A470">
        <v>469</v>
      </c>
      <c r="B470">
        <v>66.476498726014</v>
      </c>
      <c r="C470">
        <v>0</v>
      </c>
      <c r="D470">
        <v>8.5235012739859997</v>
      </c>
    </row>
    <row r="471" spans="1:4" x14ac:dyDescent="0.35">
      <c r="A471">
        <v>470</v>
      </c>
      <c r="B471">
        <v>66.065625010870818</v>
      </c>
      <c r="C471">
        <v>0</v>
      </c>
      <c r="D471">
        <v>8.9343749891291822</v>
      </c>
    </row>
    <row r="472" spans="1:4" x14ac:dyDescent="0.35">
      <c r="A472">
        <v>471</v>
      </c>
      <c r="B472">
        <v>80.558073335086775</v>
      </c>
      <c r="C472">
        <v>5.5580733350867746</v>
      </c>
      <c r="D472">
        <v>0</v>
      </c>
    </row>
    <row r="473" spans="1:4" x14ac:dyDescent="0.35">
      <c r="A473">
        <v>472</v>
      </c>
      <c r="B473">
        <v>66.441098953922136</v>
      </c>
      <c r="C473">
        <v>0</v>
      </c>
      <c r="D473">
        <v>8.5589010460778638</v>
      </c>
    </row>
    <row r="474" spans="1:4" x14ac:dyDescent="0.35">
      <c r="A474">
        <v>473</v>
      </c>
      <c r="B474">
        <v>68.152147183078725</v>
      </c>
      <c r="C474">
        <v>0</v>
      </c>
      <c r="D474">
        <v>6.8478528169212751</v>
      </c>
    </row>
    <row r="475" spans="1:4" x14ac:dyDescent="0.35">
      <c r="A475">
        <v>474</v>
      </c>
      <c r="B475">
        <v>68.787205246617106</v>
      </c>
      <c r="C475">
        <v>0</v>
      </c>
      <c r="D475">
        <v>6.2127947533828944</v>
      </c>
    </row>
    <row r="476" spans="1:4" x14ac:dyDescent="0.35">
      <c r="A476">
        <v>475</v>
      </c>
      <c r="B476">
        <v>82.047464837465228</v>
      </c>
      <c r="C476">
        <v>7.0474648374652276</v>
      </c>
      <c r="D476">
        <v>0</v>
      </c>
    </row>
    <row r="477" spans="1:4" x14ac:dyDescent="0.35">
      <c r="A477">
        <v>476</v>
      </c>
      <c r="B477">
        <v>69.001596369956715</v>
      </c>
      <c r="C477">
        <v>0</v>
      </c>
      <c r="D477">
        <v>5.9984036300432848</v>
      </c>
    </row>
    <row r="478" spans="1:4" x14ac:dyDescent="0.35">
      <c r="A478">
        <v>477</v>
      </c>
      <c r="B478">
        <v>77.508186944391909</v>
      </c>
      <c r="C478">
        <v>2.5081869443919089</v>
      </c>
      <c r="D478">
        <v>0</v>
      </c>
    </row>
    <row r="479" spans="1:4" x14ac:dyDescent="0.35">
      <c r="A479">
        <v>478</v>
      </c>
      <c r="B479">
        <v>75.488797199457352</v>
      </c>
      <c r="C479">
        <v>0.48879719945735189</v>
      </c>
      <c r="D479">
        <v>0</v>
      </c>
    </row>
    <row r="480" spans="1:4" x14ac:dyDescent="0.35">
      <c r="A480">
        <v>479</v>
      </c>
      <c r="B480">
        <v>68.921123736493499</v>
      </c>
      <c r="C480">
        <v>0</v>
      </c>
      <c r="D480">
        <v>6.0788762635065012</v>
      </c>
    </row>
    <row r="481" spans="1:4" x14ac:dyDescent="0.35">
      <c r="A481">
        <v>480</v>
      </c>
      <c r="B481">
        <v>89.88844110393444</v>
      </c>
      <c r="C481">
        <v>14.88844110393444</v>
      </c>
      <c r="D481">
        <v>0</v>
      </c>
    </row>
    <row r="482" spans="1:4" x14ac:dyDescent="0.35">
      <c r="A482">
        <v>481</v>
      </c>
      <c r="B482">
        <v>75.110002197363613</v>
      </c>
      <c r="C482">
        <v>0.11000219736361316</v>
      </c>
      <c r="D482">
        <v>0</v>
      </c>
    </row>
    <row r="483" spans="1:4" x14ac:dyDescent="0.35">
      <c r="A483">
        <v>482</v>
      </c>
      <c r="B483">
        <v>71.666483574514714</v>
      </c>
      <c r="C483">
        <v>0</v>
      </c>
      <c r="D483">
        <v>3.3335164254852856</v>
      </c>
    </row>
    <row r="484" spans="1:4" x14ac:dyDescent="0.35">
      <c r="A484">
        <v>483</v>
      </c>
      <c r="B484">
        <v>64.014123127149276</v>
      </c>
      <c r="C484">
        <v>0</v>
      </c>
      <c r="D484">
        <v>10.985876872850724</v>
      </c>
    </row>
    <row r="485" spans="1:4" x14ac:dyDescent="0.35">
      <c r="A485">
        <v>484</v>
      </c>
      <c r="B485">
        <v>73.389660350315935</v>
      </c>
      <c r="C485">
        <v>0</v>
      </c>
      <c r="D485">
        <v>1.6103396496840645</v>
      </c>
    </row>
    <row r="486" spans="1:4" x14ac:dyDescent="0.35">
      <c r="A486">
        <v>485</v>
      </c>
      <c r="B486">
        <v>78.314456194396143</v>
      </c>
      <c r="C486">
        <v>3.3144561943961435</v>
      </c>
      <c r="D486">
        <v>0</v>
      </c>
    </row>
    <row r="487" spans="1:4" x14ac:dyDescent="0.35">
      <c r="A487">
        <v>486</v>
      </c>
      <c r="B487">
        <v>70.170879678497741</v>
      </c>
      <c r="C487">
        <v>0</v>
      </c>
      <c r="D487">
        <v>4.8291203215022591</v>
      </c>
    </row>
    <row r="488" spans="1:4" x14ac:dyDescent="0.35">
      <c r="A488">
        <v>487</v>
      </c>
      <c r="B488">
        <v>85.669136390344505</v>
      </c>
      <c r="C488">
        <v>10.669136390344505</v>
      </c>
      <c r="D488">
        <v>0</v>
      </c>
    </row>
    <row r="489" spans="1:4" x14ac:dyDescent="0.35">
      <c r="A489">
        <v>488</v>
      </c>
      <c r="B489">
        <v>65.724343724524914</v>
      </c>
      <c r="C489">
        <v>0</v>
      </c>
      <c r="D489">
        <v>9.275656275475086</v>
      </c>
    </row>
    <row r="490" spans="1:4" x14ac:dyDescent="0.35">
      <c r="A490">
        <v>489</v>
      </c>
      <c r="B490">
        <v>75.744901613566356</v>
      </c>
      <c r="C490">
        <v>0.74490161356635554</v>
      </c>
      <c r="D490">
        <v>0</v>
      </c>
    </row>
    <row r="491" spans="1:4" x14ac:dyDescent="0.35">
      <c r="A491">
        <v>490</v>
      </c>
      <c r="B491">
        <v>84.712678176789311</v>
      </c>
      <c r="C491">
        <v>9.7126781767893107</v>
      </c>
      <c r="D491">
        <v>0</v>
      </c>
    </row>
    <row r="492" spans="1:4" x14ac:dyDescent="0.35">
      <c r="A492">
        <v>491</v>
      </c>
      <c r="B492">
        <v>65.679591372186707</v>
      </c>
      <c r="C492">
        <v>0</v>
      </c>
      <c r="D492">
        <v>9.3204086278132934</v>
      </c>
    </row>
    <row r="493" spans="1:4" x14ac:dyDescent="0.35">
      <c r="A493">
        <v>492</v>
      </c>
      <c r="B493">
        <v>67.95538734092969</v>
      </c>
      <c r="C493">
        <v>0</v>
      </c>
      <c r="D493">
        <v>7.0446126590703102</v>
      </c>
    </row>
    <row r="494" spans="1:4" x14ac:dyDescent="0.35">
      <c r="A494">
        <v>493</v>
      </c>
      <c r="B494">
        <v>52.330830978617605</v>
      </c>
      <c r="C494">
        <v>0</v>
      </c>
      <c r="D494">
        <v>22.669169021382395</v>
      </c>
    </row>
    <row r="495" spans="1:4" x14ac:dyDescent="0.35">
      <c r="A495">
        <v>494</v>
      </c>
      <c r="B495">
        <v>66.040765336683407</v>
      </c>
      <c r="C495">
        <v>0</v>
      </c>
      <c r="D495">
        <v>8.9592346633165931</v>
      </c>
    </row>
    <row r="496" spans="1:4" x14ac:dyDescent="0.35">
      <c r="A496">
        <v>495</v>
      </c>
      <c r="B496">
        <v>96.415926252187077</v>
      </c>
      <c r="C496">
        <v>21.415926252187077</v>
      </c>
      <c r="D496">
        <v>0</v>
      </c>
    </row>
    <row r="497" spans="1:4" x14ac:dyDescent="0.35">
      <c r="A497">
        <v>496</v>
      </c>
      <c r="B497">
        <v>78.763284889634861</v>
      </c>
      <c r="C497">
        <v>3.7632848896348605</v>
      </c>
      <c r="D497">
        <v>0</v>
      </c>
    </row>
    <row r="498" spans="1:4" x14ac:dyDescent="0.35">
      <c r="A498">
        <v>497</v>
      </c>
      <c r="B498">
        <v>73.339899738641336</v>
      </c>
      <c r="C498">
        <v>0</v>
      </c>
      <c r="D498">
        <v>1.6601002613586644</v>
      </c>
    </row>
    <row r="499" spans="1:4" x14ac:dyDescent="0.35">
      <c r="A499">
        <v>498</v>
      </c>
      <c r="B499">
        <v>74.003443017579229</v>
      </c>
      <c r="C499">
        <v>0</v>
      </c>
      <c r="D499">
        <v>0.99655698242077051</v>
      </c>
    </row>
    <row r="500" spans="1:4" x14ac:dyDescent="0.35">
      <c r="A500">
        <v>499</v>
      </c>
      <c r="B500">
        <v>65.310458720263512</v>
      </c>
      <c r="C500">
        <v>0</v>
      </c>
      <c r="D500">
        <v>9.6895412797364884</v>
      </c>
    </row>
    <row r="501" spans="1:4" x14ac:dyDescent="0.35">
      <c r="A501">
        <v>500</v>
      </c>
      <c r="B501">
        <v>71.466146583315322</v>
      </c>
      <c r="C501">
        <v>0</v>
      </c>
      <c r="D501">
        <v>3.5338534166846785</v>
      </c>
    </row>
    <row r="502" spans="1:4" x14ac:dyDescent="0.35">
      <c r="A502">
        <v>501</v>
      </c>
      <c r="B502">
        <v>79.977060894210922</v>
      </c>
      <c r="C502">
        <v>4.977060894210922</v>
      </c>
      <c r="D502">
        <v>0</v>
      </c>
    </row>
    <row r="503" spans="1:4" x14ac:dyDescent="0.35">
      <c r="A503">
        <v>502</v>
      </c>
      <c r="B503">
        <v>82.842297059333106</v>
      </c>
      <c r="C503">
        <v>7.8422970593331058</v>
      </c>
      <c r="D503">
        <v>0</v>
      </c>
    </row>
    <row r="504" spans="1:4" x14ac:dyDescent="0.35">
      <c r="A504">
        <v>503</v>
      </c>
      <c r="B504">
        <v>59.152179766626368</v>
      </c>
      <c r="C504">
        <v>0</v>
      </c>
      <c r="D504">
        <v>15.847820233373632</v>
      </c>
    </row>
    <row r="505" spans="1:4" x14ac:dyDescent="0.35">
      <c r="A505">
        <v>504</v>
      </c>
      <c r="B505">
        <v>72.324037797035899</v>
      </c>
      <c r="C505">
        <v>0</v>
      </c>
      <c r="D505">
        <v>2.6759622029641008</v>
      </c>
    </row>
    <row r="506" spans="1:4" x14ac:dyDescent="0.35">
      <c r="A506">
        <v>505</v>
      </c>
      <c r="B506">
        <v>69.146087001244311</v>
      </c>
      <c r="C506">
        <v>0</v>
      </c>
      <c r="D506">
        <v>5.853912998755689</v>
      </c>
    </row>
    <row r="507" spans="1:4" x14ac:dyDescent="0.35">
      <c r="A507">
        <v>506</v>
      </c>
      <c r="B507">
        <v>58.082180704516617</v>
      </c>
      <c r="C507">
        <v>0</v>
      </c>
      <c r="D507">
        <v>16.917819295483383</v>
      </c>
    </row>
    <row r="508" spans="1:4" x14ac:dyDescent="0.35">
      <c r="A508">
        <v>507</v>
      </c>
      <c r="B508">
        <v>70.043899086538744</v>
      </c>
      <c r="C508">
        <v>0</v>
      </c>
      <c r="D508">
        <v>4.9561009134612561</v>
      </c>
    </row>
    <row r="509" spans="1:4" x14ac:dyDescent="0.35">
      <c r="A509">
        <v>508</v>
      </c>
      <c r="B509">
        <v>76.690925617500355</v>
      </c>
      <c r="C509">
        <v>1.6909256175003549</v>
      </c>
      <c r="D509">
        <v>0</v>
      </c>
    </row>
    <row r="510" spans="1:4" x14ac:dyDescent="0.35">
      <c r="A510">
        <v>509</v>
      </c>
      <c r="B510">
        <v>71.241586411816186</v>
      </c>
      <c r="C510">
        <v>0</v>
      </c>
      <c r="D510">
        <v>3.7584135881838137</v>
      </c>
    </row>
    <row r="511" spans="1:4" x14ac:dyDescent="0.35">
      <c r="A511">
        <v>510</v>
      </c>
      <c r="B511">
        <v>68.934954682902031</v>
      </c>
      <c r="C511">
        <v>0</v>
      </c>
      <c r="D511">
        <v>6.0650453170979688</v>
      </c>
    </row>
    <row r="512" spans="1:4" x14ac:dyDescent="0.35">
      <c r="A512">
        <v>511</v>
      </c>
      <c r="B512">
        <v>89.267089838987417</v>
      </c>
      <c r="C512">
        <v>14.267089838987417</v>
      </c>
      <c r="D512">
        <v>0</v>
      </c>
    </row>
    <row r="513" spans="1:4" x14ac:dyDescent="0.35">
      <c r="A513">
        <v>512</v>
      </c>
      <c r="B513">
        <v>96.624949500160724</v>
      </c>
      <c r="C513">
        <v>21.624949500160724</v>
      </c>
      <c r="D513">
        <v>0</v>
      </c>
    </row>
    <row r="514" spans="1:4" x14ac:dyDescent="0.35">
      <c r="A514">
        <v>513</v>
      </c>
      <c r="B514">
        <v>73.620656145673465</v>
      </c>
      <c r="C514">
        <v>0</v>
      </c>
      <c r="D514">
        <v>1.3793438543265353</v>
      </c>
    </row>
    <row r="515" spans="1:4" x14ac:dyDescent="0.35">
      <c r="A515">
        <v>514</v>
      </c>
      <c r="B515">
        <v>72.070901326513152</v>
      </c>
      <c r="C515">
        <v>0</v>
      </c>
      <c r="D515">
        <v>2.9290986734868483</v>
      </c>
    </row>
    <row r="516" spans="1:4" x14ac:dyDescent="0.35">
      <c r="A516">
        <v>515</v>
      </c>
      <c r="B516">
        <v>74.25939016404638</v>
      </c>
      <c r="C516">
        <v>0</v>
      </c>
      <c r="D516">
        <v>0.74060983595362018</v>
      </c>
    </row>
    <row r="517" spans="1:4" x14ac:dyDescent="0.35">
      <c r="A517">
        <v>516</v>
      </c>
      <c r="B517">
        <v>58.949173660275981</v>
      </c>
      <c r="C517">
        <v>0</v>
      </c>
      <c r="D517">
        <v>16.050826339724019</v>
      </c>
    </row>
    <row r="518" spans="1:4" x14ac:dyDescent="0.35">
      <c r="A518">
        <v>517</v>
      </c>
      <c r="B518">
        <v>62.784781872651223</v>
      </c>
      <c r="C518">
        <v>0</v>
      </c>
      <c r="D518">
        <v>12.215218127348777</v>
      </c>
    </row>
    <row r="519" spans="1:4" x14ac:dyDescent="0.35">
      <c r="A519">
        <v>518</v>
      </c>
      <c r="B519">
        <v>65.739252835270335</v>
      </c>
      <c r="C519">
        <v>0</v>
      </c>
      <c r="D519">
        <v>9.2607471647296649</v>
      </c>
    </row>
    <row r="520" spans="1:4" x14ac:dyDescent="0.35">
      <c r="A520">
        <v>519</v>
      </c>
      <c r="B520">
        <v>53.164289763045602</v>
      </c>
      <c r="C520">
        <v>0</v>
      </c>
      <c r="D520">
        <v>21.835710236954398</v>
      </c>
    </row>
    <row r="521" spans="1:4" x14ac:dyDescent="0.35">
      <c r="A521">
        <v>520</v>
      </c>
      <c r="B521">
        <v>61.673666421587228</v>
      </c>
      <c r="C521">
        <v>0</v>
      </c>
      <c r="D521">
        <v>13.326333578412772</v>
      </c>
    </row>
    <row r="522" spans="1:4" x14ac:dyDescent="0.35">
      <c r="A522">
        <v>521</v>
      </c>
      <c r="B522">
        <v>69.264352753924541</v>
      </c>
      <c r="C522">
        <v>0</v>
      </c>
      <c r="D522">
        <v>5.7356472460754588</v>
      </c>
    </row>
    <row r="523" spans="1:4" x14ac:dyDescent="0.35">
      <c r="A523">
        <v>522</v>
      </c>
      <c r="B523">
        <v>72.492650287859078</v>
      </c>
      <c r="C523">
        <v>0</v>
      </c>
      <c r="D523">
        <v>2.5073497121409218</v>
      </c>
    </row>
    <row r="524" spans="1:4" x14ac:dyDescent="0.35">
      <c r="A524">
        <v>523</v>
      </c>
      <c r="B524">
        <v>72.752033239634045</v>
      </c>
      <c r="C524">
        <v>0</v>
      </c>
      <c r="D524">
        <v>2.247966760365955</v>
      </c>
    </row>
    <row r="525" spans="1:4" x14ac:dyDescent="0.35">
      <c r="A525">
        <v>524</v>
      </c>
      <c r="B525">
        <v>79.489818038056583</v>
      </c>
      <c r="C525">
        <v>4.4898180380565833</v>
      </c>
      <c r="D525">
        <v>0</v>
      </c>
    </row>
    <row r="526" spans="1:4" x14ac:dyDescent="0.35">
      <c r="A526">
        <v>525</v>
      </c>
      <c r="B526">
        <v>55.942882534096825</v>
      </c>
      <c r="C526">
        <v>0</v>
      </c>
      <c r="D526">
        <v>19.057117465903175</v>
      </c>
    </row>
    <row r="527" spans="1:4" x14ac:dyDescent="0.35">
      <c r="A527">
        <v>526</v>
      </c>
      <c r="B527">
        <v>68.905180511613196</v>
      </c>
      <c r="C527">
        <v>0</v>
      </c>
      <c r="D527">
        <v>6.0948194883868041</v>
      </c>
    </row>
    <row r="528" spans="1:4" x14ac:dyDescent="0.35">
      <c r="A528">
        <v>527</v>
      </c>
      <c r="B528">
        <v>57.171432147215903</v>
      </c>
      <c r="C528">
        <v>0</v>
      </c>
      <c r="D528">
        <v>17.828567852784097</v>
      </c>
    </row>
    <row r="529" spans="1:4" x14ac:dyDescent="0.35">
      <c r="A529">
        <v>528</v>
      </c>
      <c r="B529">
        <v>66.499969747483846</v>
      </c>
      <c r="C529">
        <v>0</v>
      </c>
      <c r="D529">
        <v>8.5000302525161544</v>
      </c>
    </row>
    <row r="530" spans="1:4" x14ac:dyDescent="0.35">
      <c r="A530">
        <v>529</v>
      </c>
      <c r="B530">
        <v>73.93229031272719</v>
      </c>
      <c r="C530">
        <v>0</v>
      </c>
      <c r="D530">
        <v>1.06770968727281</v>
      </c>
    </row>
    <row r="531" spans="1:4" x14ac:dyDescent="0.35">
      <c r="A531">
        <v>530</v>
      </c>
      <c r="B531">
        <v>71.707160354769329</v>
      </c>
      <c r="C531">
        <v>0</v>
      </c>
      <c r="D531">
        <v>3.2928396452306714</v>
      </c>
    </row>
    <row r="532" spans="1:4" x14ac:dyDescent="0.35">
      <c r="A532">
        <v>531</v>
      </c>
      <c r="B532">
        <v>73.754400268895694</v>
      </c>
      <c r="C532">
        <v>0</v>
      </c>
      <c r="D532">
        <v>1.2455997311043063</v>
      </c>
    </row>
    <row r="533" spans="1:4" x14ac:dyDescent="0.35">
      <c r="A533">
        <v>532</v>
      </c>
      <c r="B533">
        <v>66.967335409582333</v>
      </c>
      <c r="C533">
        <v>0</v>
      </c>
      <c r="D533">
        <v>8.0326645904176672</v>
      </c>
    </row>
    <row r="534" spans="1:4" x14ac:dyDescent="0.35">
      <c r="A534">
        <v>533</v>
      </c>
      <c r="B534">
        <v>86.026770441071122</v>
      </c>
      <c r="C534">
        <v>11.026770441071122</v>
      </c>
      <c r="D534">
        <v>0</v>
      </c>
    </row>
    <row r="535" spans="1:4" x14ac:dyDescent="0.35">
      <c r="A535">
        <v>534</v>
      </c>
      <c r="B535">
        <v>79.081880647563835</v>
      </c>
      <c r="C535">
        <v>4.0818806475638354</v>
      </c>
      <c r="D535">
        <v>0</v>
      </c>
    </row>
    <row r="536" spans="1:4" x14ac:dyDescent="0.35">
      <c r="A536">
        <v>535</v>
      </c>
      <c r="B536">
        <v>73.207819122459711</v>
      </c>
      <c r="C536">
        <v>0</v>
      </c>
      <c r="D536">
        <v>1.7921808775402894</v>
      </c>
    </row>
    <row r="537" spans="1:4" x14ac:dyDescent="0.35">
      <c r="A537">
        <v>536</v>
      </c>
      <c r="B537">
        <v>69.55097977148499</v>
      </c>
      <c r="C537">
        <v>0</v>
      </c>
      <c r="D537">
        <v>5.4490202285150104</v>
      </c>
    </row>
    <row r="538" spans="1:4" x14ac:dyDescent="0.35">
      <c r="A538">
        <v>537</v>
      </c>
      <c r="B538">
        <v>77.771058390860119</v>
      </c>
      <c r="C538">
        <v>2.7710583908601194</v>
      </c>
      <c r="D538">
        <v>0</v>
      </c>
    </row>
    <row r="539" spans="1:4" x14ac:dyDescent="0.35">
      <c r="A539">
        <v>538</v>
      </c>
      <c r="B539">
        <v>62.047692573419113</v>
      </c>
      <c r="C539">
        <v>0</v>
      </c>
      <c r="D539">
        <v>12.952307426580887</v>
      </c>
    </row>
    <row r="540" spans="1:4" x14ac:dyDescent="0.35">
      <c r="A540">
        <v>539</v>
      </c>
      <c r="B540">
        <v>57.214129414810145</v>
      </c>
      <c r="C540">
        <v>0</v>
      </c>
      <c r="D540">
        <v>17.785870585189855</v>
      </c>
    </row>
    <row r="541" spans="1:4" x14ac:dyDescent="0.35">
      <c r="A541">
        <v>540</v>
      </c>
      <c r="B541">
        <v>64.606095743827183</v>
      </c>
      <c r="C541">
        <v>0</v>
      </c>
      <c r="D541">
        <v>10.393904256172817</v>
      </c>
    </row>
    <row r="542" spans="1:4" x14ac:dyDescent="0.35">
      <c r="A542">
        <v>541</v>
      </c>
      <c r="B542">
        <v>78.666662509475884</v>
      </c>
      <c r="C542">
        <v>3.6666625094758842</v>
      </c>
      <c r="D542">
        <v>0</v>
      </c>
    </row>
    <row r="543" spans="1:4" x14ac:dyDescent="0.35">
      <c r="A543">
        <v>542</v>
      </c>
      <c r="B543">
        <v>90.002552726199696</v>
      </c>
      <c r="C543">
        <v>15.002552726199696</v>
      </c>
      <c r="D543">
        <v>0</v>
      </c>
    </row>
    <row r="544" spans="1:4" x14ac:dyDescent="0.35">
      <c r="A544">
        <v>543</v>
      </c>
      <c r="B544">
        <v>67.374351995392118</v>
      </c>
      <c r="C544">
        <v>0</v>
      </c>
      <c r="D544">
        <v>7.6256480046078821</v>
      </c>
    </row>
    <row r="545" spans="1:4" x14ac:dyDescent="0.35">
      <c r="A545">
        <v>544</v>
      </c>
      <c r="B545">
        <v>76.242792025456339</v>
      </c>
      <c r="C545">
        <v>1.2427920254563389</v>
      </c>
      <c r="D545">
        <v>0</v>
      </c>
    </row>
    <row r="546" spans="1:4" x14ac:dyDescent="0.35">
      <c r="A546">
        <v>545</v>
      </c>
      <c r="B546">
        <v>79.893112890952565</v>
      </c>
      <c r="C546">
        <v>4.8931128909525654</v>
      </c>
      <c r="D546">
        <v>0</v>
      </c>
    </row>
    <row r="547" spans="1:4" x14ac:dyDescent="0.35">
      <c r="A547">
        <v>546</v>
      </c>
      <c r="B547">
        <v>55.247349224401226</v>
      </c>
      <c r="C547">
        <v>0</v>
      </c>
      <c r="D547">
        <v>19.752650775598774</v>
      </c>
    </row>
    <row r="548" spans="1:4" x14ac:dyDescent="0.35">
      <c r="A548">
        <v>547</v>
      </c>
      <c r="B548">
        <v>79.999871026376582</v>
      </c>
      <c r="C548">
        <v>4.9998710263765815</v>
      </c>
      <c r="D548">
        <v>0</v>
      </c>
    </row>
    <row r="549" spans="1:4" x14ac:dyDescent="0.35">
      <c r="A549">
        <v>548</v>
      </c>
      <c r="B549">
        <v>70.845779313879248</v>
      </c>
      <c r="C549">
        <v>0</v>
      </c>
      <c r="D549">
        <v>4.1542206861207518</v>
      </c>
    </row>
    <row r="550" spans="1:4" x14ac:dyDescent="0.35">
      <c r="A550">
        <v>549</v>
      </c>
      <c r="B550">
        <v>63.496544690420968</v>
      </c>
      <c r="C550">
        <v>0</v>
      </c>
      <c r="D550">
        <v>11.503455309579032</v>
      </c>
    </row>
    <row r="551" spans="1:4" x14ac:dyDescent="0.35">
      <c r="A551">
        <v>550</v>
      </c>
      <c r="B551">
        <v>73.906912865247989</v>
      </c>
      <c r="C551">
        <v>0</v>
      </c>
      <c r="D551">
        <v>1.093087134752011</v>
      </c>
    </row>
    <row r="552" spans="1:4" x14ac:dyDescent="0.35">
      <c r="A552">
        <v>551</v>
      </c>
      <c r="B552">
        <v>85.995694913812741</v>
      </c>
      <c r="C552">
        <v>10.995694913812741</v>
      </c>
      <c r="D552">
        <v>0</v>
      </c>
    </row>
    <row r="553" spans="1:4" x14ac:dyDescent="0.35">
      <c r="A553">
        <v>552</v>
      </c>
      <c r="B553">
        <v>89.290708453689646</v>
      </c>
      <c r="C553">
        <v>14.290708453689646</v>
      </c>
      <c r="D553">
        <v>0</v>
      </c>
    </row>
    <row r="554" spans="1:4" x14ac:dyDescent="0.35">
      <c r="A554">
        <v>553</v>
      </c>
      <c r="B554">
        <v>75.333850381143748</v>
      </c>
      <c r="C554">
        <v>0.33385038114374765</v>
      </c>
      <c r="D554">
        <v>0</v>
      </c>
    </row>
    <row r="555" spans="1:4" x14ac:dyDescent="0.35">
      <c r="A555">
        <v>554</v>
      </c>
      <c r="B555">
        <v>52.403616003858751</v>
      </c>
      <c r="C555">
        <v>0</v>
      </c>
      <c r="D555">
        <v>22.596383996141249</v>
      </c>
    </row>
    <row r="556" spans="1:4" x14ac:dyDescent="0.35">
      <c r="A556">
        <v>555</v>
      </c>
      <c r="B556">
        <v>75.580652077679346</v>
      </c>
      <c r="C556">
        <v>0.58065207767934623</v>
      </c>
      <c r="D556">
        <v>0</v>
      </c>
    </row>
    <row r="557" spans="1:4" x14ac:dyDescent="0.35">
      <c r="A557">
        <v>556</v>
      </c>
      <c r="B557">
        <v>91.9392094271101</v>
      </c>
      <c r="C557">
        <v>16.9392094271101</v>
      </c>
      <c r="D557">
        <v>0</v>
      </c>
    </row>
    <row r="558" spans="1:4" x14ac:dyDescent="0.35">
      <c r="A558">
        <v>557</v>
      </c>
      <c r="B558">
        <v>51.181415145258143</v>
      </c>
      <c r="C558">
        <v>0</v>
      </c>
      <c r="D558">
        <v>23.818584854741857</v>
      </c>
    </row>
    <row r="559" spans="1:4" x14ac:dyDescent="0.35">
      <c r="A559">
        <v>558</v>
      </c>
      <c r="B559">
        <v>90.303881638546841</v>
      </c>
      <c r="C559">
        <v>15.303881638546841</v>
      </c>
      <c r="D559">
        <v>0</v>
      </c>
    </row>
    <row r="560" spans="1:4" x14ac:dyDescent="0.35">
      <c r="A560">
        <v>559</v>
      </c>
      <c r="B560">
        <v>58.097633870624854</v>
      </c>
      <c r="C560">
        <v>0</v>
      </c>
      <c r="D560">
        <v>16.902366129375146</v>
      </c>
    </row>
    <row r="561" spans="1:4" x14ac:dyDescent="0.35">
      <c r="A561">
        <v>560</v>
      </c>
      <c r="B561">
        <v>66.004054315934923</v>
      </c>
      <c r="C561">
        <v>0</v>
      </c>
      <c r="D561">
        <v>8.9959456840650773</v>
      </c>
    </row>
    <row r="562" spans="1:4" x14ac:dyDescent="0.35">
      <c r="A562">
        <v>561</v>
      </c>
      <c r="B562">
        <v>73.3824081039037</v>
      </c>
      <c r="C562">
        <v>0</v>
      </c>
      <c r="D562">
        <v>1.6175918960963003</v>
      </c>
    </row>
    <row r="563" spans="1:4" x14ac:dyDescent="0.35">
      <c r="A563">
        <v>562</v>
      </c>
      <c r="B563">
        <v>80.555817111621465</v>
      </c>
      <c r="C563">
        <v>5.5558171116214652</v>
      </c>
      <c r="D563">
        <v>0</v>
      </c>
    </row>
    <row r="564" spans="1:4" x14ac:dyDescent="0.35">
      <c r="A564">
        <v>563</v>
      </c>
      <c r="B564">
        <v>55.709726961625108</v>
      </c>
      <c r="C564">
        <v>0</v>
      </c>
      <c r="D564">
        <v>19.290273038374892</v>
      </c>
    </row>
    <row r="565" spans="1:4" x14ac:dyDescent="0.35">
      <c r="A565">
        <v>564</v>
      </c>
      <c r="B565">
        <v>56.86561003532551</v>
      </c>
      <c r="C565">
        <v>0</v>
      </c>
      <c r="D565">
        <v>18.13438996467449</v>
      </c>
    </row>
    <row r="566" spans="1:4" x14ac:dyDescent="0.35">
      <c r="A566">
        <v>565</v>
      </c>
      <c r="B566">
        <v>72.904633415484682</v>
      </c>
      <c r="C566">
        <v>0</v>
      </c>
      <c r="D566">
        <v>2.0953665845153182</v>
      </c>
    </row>
    <row r="567" spans="1:4" x14ac:dyDescent="0.35">
      <c r="A567">
        <v>566</v>
      </c>
      <c r="B567">
        <v>66.578680603623141</v>
      </c>
      <c r="C567">
        <v>0</v>
      </c>
      <c r="D567">
        <v>8.4213193963768589</v>
      </c>
    </row>
    <row r="568" spans="1:4" x14ac:dyDescent="0.35">
      <c r="A568">
        <v>567</v>
      </c>
      <c r="B568">
        <v>69.070569047098346</v>
      </c>
      <c r="C568">
        <v>0</v>
      </c>
      <c r="D568">
        <v>5.9294309529016545</v>
      </c>
    </row>
    <row r="569" spans="1:4" x14ac:dyDescent="0.35">
      <c r="A569">
        <v>568</v>
      </c>
      <c r="B569">
        <v>71.513653142859766</v>
      </c>
      <c r="C569">
        <v>0</v>
      </c>
      <c r="D569">
        <v>3.4863468571402336</v>
      </c>
    </row>
    <row r="570" spans="1:4" x14ac:dyDescent="0.35">
      <c r="A570">
        <v>569</v>
      </c>
      <c r="B570">
        <v>77.803933360913604</v>
      </c>
      <c r="C570">
        <v>2.8039333609136037</v>
      </c>
      <c r="D570">
        <v>0</v>
      </c>
    </row>
    <row r="571" spans="1:4" x14ac:dyDescent="0.35">
      <c r="A571">
        <v>570</v>
      </c>
      <c r="B571">
        <v>70.0344933250651</v>
      </c>
      <c r="C571">
        <v>0</v>
      </c>
      <c r="D571">
        <v>4.9655066749349004</v>
      </c>
    </row>
    <row r="572" spans="1:4" x14ac:dyDescent="0.35">
      <c r="A572">
        <v>571</v>
      </c>
      <c r="B572">
        <v>66.778348579943469</v>
      </c>
      <c r="C572">
        <v>0</v>
      </c>
      <c r="D572">
        <v>8.2216514200565314</v>
      </c>
    </row>
    <row r="573" spans="1:4" x14ac:dyDescent="0.35">
      <c r="A573">
        <v>572</v>
      </c>
      <c r="B573">
        <v>58.125353802433487</v>
      </c>
      <c r="C573">
        <v>0</v>
      </c>
      <c r="D573">
        <v>16.874646197566513</v>
      </c>
    </row>
    <row r="574" spans="1:4" x14ac:dyDescent="0.35">
      <c r="A574">
        <v>573</v>
      </c>
      <c r="B574">
        <v>68.980675181306339</v>
      </c>
      <c r="C574">
        <v>0</v>
      </c>
      <c r="D574">
        <v>6.0193248186936614</v>
      </c>
    </row>
    <row r="575" spans="1:4" x14ac:dyDescent="0.35">
      <c r="A575">
        <v>574</v>
      </c>
      <c r="B575">
        <v>73.131005223113462</v>
      </c>
      <c r="C575">
        <v>0</v>
      </c>
      <c r="D575">
        <v>1.868994776886538</v>
      </c>
    </row>
    <row r="576" spans="1:4" x14ac:dyDescent="0.35">
      <c r="A576">
        <v>575</v>
      </c>
      <c r="B576">
        <v>78.840036985295072</v>
      </c>
      <c r="C576">
        <v>3.8400369852950718</v>
      </c>
      <c r="D576">
        <v>0</v>
      </c>
    </row>
    <row r="577" spans="1:4" x14ac:dyDescent="0.35">
      <c r="A577">
        <v>576</v>
      </c>
      <c r="B577">
        <v>73.326907194104038</v>
      </c>
      <c r="C577">
        <v>0</v>
      </c>
      <c r="D577">
        <v>1.673092805895962</v>
      </c>
    </row>
    <row r="578" spans="1:4" x14ac:dyDescent="0.35">
      <c r="A578">
        <v>577</v>
      </c>
      <c r="B578">
        <v>75.29043561367601</v>
      </c>
      <c r="C578">
        <v>0.29043561367601001</v>
      </c>
      <c r="D578">
        <v>0</v>
      </c>
    </row>
    <row r="579" spans="1:4" x14ac:dyDescent="0.35">
      <c r="A579">
        <v>578</v>
      </c>
      <c r="B579">
        <v>80.547618281841167</v>
      </c>
      <c r="C579">
        <v>5.5476182818411672</v>
      </c>
      <c r="D579">
        <v>0</v>
      </c>
    </row>
    <row r="580" spans="1:4" x14ac:dyDescent="0.35">
      <c r="A580">
        <v>579</v>
      </c>
      <c r="B580">
        <v>69.183628703780869</v>
      </c>
      <c r="C580">
        <v>0</v>
      </c>
      <c r="D580">
        <v>5.8163712962191312</v>
      </c>
    </row>
    <row r="581" spans="1:4" x14ac:dyDescent="0.35">
      <c r="A581">
        <v>580</v>
      </c>
      <c r="B581">
        <v>80.112785890098152</v>
      </c>
      <c r="C581">
        <v>5.1127858900981522</v>
      </c>
      <c r="D581">
        <v>0</v>
      </c>
    </row>
    <row r="582" spans="1:4" x14ac:dyDescent="0.35">
      <c r="A582">
        <v>581</v>
      </c>
      <c r="B582">
        <v>77.392374654053043</v>
      </c>
      <c r="C582">
        <v>2.3923746540530431</v>
      </c>
      <c r="D582">
        <v>0</v>
      </c>
    </row>
    <row r="583" spans="1:4" x14ac:dyDescent="0.35">
      <c r="A583">
        <v>582</v>
      </c>
      <c r="B583">
        <v>76.520012178738384</v>
      </c>
      <c r="C583">
        <v>1.5200121787383836</v>
      </c>
      <c r="D583">
        <v>0</v>
      </c>
    </row>
    <row r="584" spans="1:4" x14ac:dyDescent="0.35">
      <c r="A584">
        <v>583</v>
      </c>
      <c r="B584">
        <v>77.714857749985555</v>
      </c>
      <c r="C584">
        <v>2.7148577499855548</v>
      </c>
      <c r="D584">
        <v>0</v>
      </c>
    </row>
    <row r="585" spans="1:4" x14ac:dyDescent="0.35">
      <c r="A585">
        <v>584</v>
      </c>
      <c r="B585">
        <v>63.043682462557804</v>
      </c>
      <c r="C585">
        <v>0</v>
      </c>
      <c r="D585">
        <v>11.956317537442196</v>
      </c>
    </row>
    <row r="586" spans="1:4" x14ac:dyDescent="0.35">
      <c r="A586">
        <v>585</v>
      </c>
      <c r="B586">
        <v>79.213758544805657</v>
      </c>
      <c r="C586">
        <v>4.2137585448056569</v>
      </c>
      <c r="D586">
        <v>0</v>
      </c>
    </row>
    <row r="587" spans="1:4" x14ac:dyDescent="0.35">
      <c r="A587">
        <v>586</v>
      </c>
      <c r="B587">
        <v>57.871686086317588</v>
      </c>
      <c r="C587">
        <v>0</v>
      </c>
      <c r="D587">
        <v>17.128313913682412</v>
      </c>
    </row>
    <row r="588" spans="1:4" x14ac:dyDescent="0.35">
      <c r="A588">
        <v>587</v>
      </c>
      <c r="B588">
        <v>64.743849432560182</v>
      </c>
      <c r="C588">
        <v>0</v>
      </c>
      <c r="D588">
        <v>10.256150567439818</v>
      </c>
    </row>
    <row r="589" spans="1:4" x14ac:dyDescent="0.35">
      <c r="A589">
        <v>588</v>
      </c>
      <c r="B589">
        <v>89.898662743644962</v>
      </c>
      <c r="C589">
        <v>14.898662743644962</v>
      </c>
      <c r="D589">
        <v>0</v>
      </c>
    </row>
    <row r="590" spans="1:4" x14ac:dyDescent="0.35">
      <c r="A590">
        <v>589</v>
      </c>
      <c r="B590">
        <v>81.065789174134594</v>
      </c>
      <c r="C590">
        <v>6.0657891741345935</v>
      </c>
      <c r="D590">
        <v>0</v>
      </c>
    </row>
    <row r="591" spans="1:4" x14ac:dyDescent="0.35">
      <c r="A591">
        <v>590</v>
      </c>
      <c r="B591">
        <v>63.897251670223888</v>
      </c>
      <c r="C591">
        <v>0</v>
      </c>
      <c r="D591">
        <v>11.102748329776112</v>
      </c>
    </row>
    <row r="592" spans="1:4" x14ac:dyDescent="0.35">
      <c r="A592">
        <v>591</v>
      </c>
      <c r="B592">
        <v>62.778117486498644</v>
      </c>
      <c r="C592">
        <v>0</v>
      </c>
      <c r="D592">
        <v>12.221882513501356</v>
      </c>
    </row>
    <row r="593" spans="1:4" x14ac:dyDescent="0.35">
      <c r="A593">
        <v>592</v>
      </c>
      <c r="B593">
        <v>64.419273022039164</v>
      </c>
      <c r="C593">
        <v>0</v>
      </c>
      <c r="D593">
        <v>10.580726977960836</v>
      </c>
    </row>
    <row r="594" spans="1:4" x14ac:dyDescent="0.35">
      <c r="A594">
        <v>593</v>
      </c>
      <c r="B594">
        <v>87.32473246511789</v>
      </c>
      <c r="C594">
        <v>12.32473246511789</v>
      </c>
      <c r="D594">
        <v>0</v>
      </c>
    </row>
    <row r="595" spans="1:4" x14ac:dyDescent="0.35">
      <c r="A595">
        <v>594</v>
      </c>
      <c r="B595">
        <v>65.013703093205166</v>
      </c>
      <c r="C595">
        <v>0</v>
      </c>
      <c r="D595">
        <v>9.9862969067948342</v>
      </c>
    </row>
    <row r="596" spans="1:4" x14ac:dyDescent="0.35">
      <c r="A596">
        <v>595</v>
      </c>
      <c r="B596">
        <v>64.968431144011006</v>
      </c>
      <c r="C596">
        <v>0</v>
      </c>
      <c r="D596">
        <v>10.031568855988994</v>
      </c>
    </row>
    <row r="597" spans="1:4" x14ac:dyDescent="0.35">
      <c r="A597">
        <v>596</v>
      </c>
      <c r="B597">
        <v>77.182324554660568</v>
      </c>
      <c r="C597">
        <v>2.1823245546605676</v>
      </c>
      <c r="D597">
        <v>0</v>
      </c>
    </row>
    <row r="598" spans="1:4" x14ac:dyDescent="0.35">
      <c r="A598">
        <v>597</v>
      </c>
      <c r="B598">
        <v>75.666704778287695</v>
      </c>
      <c r="C598">
        <v>0.66670477828769492</v>
      </c>
      <c r="D598">
        <v>0</v>
      </c>
    </row>
    <row r="599" spans="1:4" x14ac:dyDescent="0.35">
      <c r="A599">
        <v>598</v>
      </c>
      <c r="B599">
        <v>79.185498456368322</v>
      </c>
      <c r="C599">
        <v>4.1854984563683217</v>
      </c>
      <c r="D599">
        <v>0</v>
      </c>
    </row>
    <row r="600" spans="1:4" x14ac:dyDescent="0.35">
      <c r="A600">
        <v>599</v>
      </c>
      <c r="B600">
        <v>78.676313757027884</v>
      </c>
      <c r="C600">
        <v>3.6763137570278843</v>
      </c>
      <c r="D600">
        <v>0</v>
      </c>
    </row>
    <row r="601" spans="1:4" x14ac:dyDescent="0.35">
      <c r="A601">
        <v>600</v>
      </c>
      <c r="B601">
        <v>66.410492439340459</v>
      </c>
      <c r="C601">
        <v>0</v>
      </c>
      <c r="D601">
        <v>8.5895075606595412</v>
      </c>
    </row>
    <row r="602" spans="1:4" x14ac:dyDescent="0.35">
      <c r="A602">
        <v>601</v>
      </c>
      <c r="B602">
        <v>81.272338791078937</v>
      </c>
      <c r="C602">
        <v>6.272338791078937</v>
      </c>
      <c r="D602">
        <v>0</v>
      </c>
    </row>
    <row r="603" spans="1:4" x14ac:dyDescent="0.35">
      <c r="A603">
        <v>602</v>
      </c>
      <c r="B603">
        <v>77.320794366942962</v>
      </c>
      <c r="C603">
        <v>2.3207943669429625</v>
      </c>
      <c r="D603">
        <v>0</v>
      </c>
    </row>
    <row r="604" spans="1:4" x14ac:dyDescent="0.35">
      <c r="A604">
        <v>603</v>
      </c>
      <c r="B604">
        <v>85.092084852836919</v>
      </c>
      <c r="C604">
        <v>10.092084852836919</v>
      </c>
      <c r="D604">
        <v>0</v>
      </c>
    </row>
    <row r="605" spans="1:4" x14ac:dyDescent="0.35">
      <c r="A605">
        <v>604</v>
      </c>
      <c r="B605">
        <v>63.990207803957908</v>
      </c>
      <c r="C605">
        <v>0</v>
      </c>
      <c r="D605">
        <v>11.009792196042092</v>
      </c>
    </row>
    <row r="606" spans="1:4" x14ac:dyDescent="0.35">
      <c r="A606">
        <v>605</v>
      </c>
      <c r="B606">
        <v>67.649788702854892</v>
      </c>
      <c r="C606">
        <v>0</v>
      </c>
      <c r="D606">
        <v>7.3502112971451083</v>
      </c>
    </row>
    <row r="607" spans="1:4" x14ac:dyDescent="0.35">
      <c r="A607">
        <v>606</v>
      </c>
      <c r="B607">
        <v>72.618694612571858</v>
      </c>
      <c r="C607">
        <v>0</v>
      </c>
      <c r="D607">
        <v>2.3813053874281422</v>
      </c>
    </row>
    <row r="608" spans="1:4" x14ac:dyDescent="0.35">
      <c r="A608">
        <v>607</v>
      </c>
      <c r="B608">
        <v>67.637276255523076</v>
      </c>
      <c r="C608">
        <v>0</v>
      </c>
      <c r="D608">
        <v>7.3627237444769236</v>
      </c>
    </row>
    <row r="609" spans="1:4" x14ac:dyDescent="0.35">
      <c r="A609">
        <v>608</v>
      </c>
      <c r="B609">
        <v>63.427605565077151</v>
      </c>
      <c r="C609">
        <v>0</v>
      </c>
      <c r="D609">
        <v>11.572394434922849</v>
      </c>
    </row>
    <row r="610" spans="1:4" x14ac:dyDescent="0.35">
      <c r="A610">
        <v>609</v>
      </c>
      <c r="B610">
        <v>73.289165571144878</v>
      </c>
      <c r="C610">
        <v>0</v>
      </c>
      <c r="D610">
        <v>1.7108344288551223</v>
      </c>
    </row>
    <row r="611" spans="1:4" x14ac:dyDescent="0.35">
      <c r="A611">
        <v>610</v>
      </c>
      <c r="B611">
        <v>74.671317850455097</v>
      </c>
      <c r="C611">
        <v>0</v>
      </c>
      <c r="D611">
        <v>0.32868214954490327</v>
      </c>
    </row>
    <row r="612" spans="1:4" x14ac:dyDescent="0.35">
      <c r="A612">
        <v>611</v>
      </c>
      <c r="B612">
        <v>61.175973372318282</v>
      </c>
      <c r="C612">
        <v>0</v>
      </c>
      <c r="D612">
        <v>13.824026627681718</v>
      </c>
    </row>
    <row r="613" spans="1:4" x14ac:dyDescent="0.35">
      <c r="A613">
        <v>612</v>
      </c>
      <c r="B613">
        <v>57.305853725901386</v>
      </c>
      <c r="C613">
        <v>0</v>
      </c>
      <c r="D613">
        <v>17.694146274098614</v>
      </c>
    </row>
    <row r="614" spans="1:4" x14ac:dyDescent="0.35">
      <c r="A614">
        <v>613</v>
      </c>
      <c r="B614">
        <v>74.788773239411725</v>
      </c>
      <c r="C614">
        <v>0</v>
      </c>
      <c r="D614">
        <v>0.21122676058827494</v>
      </c>
    </row>
    <row r="615" spans="1:4" x14ac:dyDescent="0.35">
      <c r="A615">
        <v>614</v>
      </c>
      <c r="B615">
        <v>81.911228585446565</v>
      </c>
      <c r="C615">
        <v>6.9112285854465654</v>
      </c>
      <c r="D615">
        <v>0</v>
      </c>
    </row>
    <row r="616" spans="1:4" x14ac:dyDescent="0.35">
      <c r="A616">
        <v>615</v>
      </c>
      <c r="B616">
        <v>74.978213844103237</v>
      </c>
      <c r="C616">
        <v>0</v>
      </c>
      <c r="D616">
        <v>2.1786155896762693E-2</v>
      </c>
    </row>
    <row r="617" spans="1:4" x14ac:dyDescent="0.35">
      <c r="A617">
        <v>616</v>
      </c>
      <c r="B617">
        <v>69.38459725181427</v>
      </c>
      <c r="C617">
        <v>0</v>
      </c>
      <c r="D617">
        <v>5.6154027481857298</v>
      </c>
    </row>
    <row r="618" spans="1:4" x14ac:dyDescent="0.35">
      <c r="A618">
        <v>617</v>
      </c>
      <c r="B618">
        <v>62.873539703239643</v>
      </c>
      <c r="C618">
        <v>0</v>
      </c>
      <c r="D618">
        <v>12.126460296760357</v>
      </c>
    </row>
    <row r="619" spans="1:4" x14ac:dyDescent="0.35">
      <c r="A619">
        <v>618</v>
      </c>
      <c r="B619">
        <v>71.146645500703698</v>
      </c>
      <c r="C619">
        <v>0</v>
      </c>
      <c r="D619">
        <v>3.8533544992963016</v>
      </c>
    </row>
    <row r="620" spans="1:4" x14ac:dyDescent="0.35">
      <c r="A620">
        <v>619</v>
      </c>
      <c r="B620">
        <v>93.517389060713441</v>
      </c>
      <c r="C620">
        <v>18.517389060713441</v>
      </c>
      <c r="D620">
        <v>0</v>
      </c>
    </row>
    <row r="621" spans="1:4" x14ac:dyDescent="0.35">
      <c r="A621">
        <v>620</v>
      </c>
      <c r="B621">
        <v>79.056139005623166</v>
      </c>
      <c r="C621">
        <v>4.0561390056231659</v>
      </c>
      <c r="D621">
        <v>0</v>
      </c>
    </row>
    <row r="622" spans="1:4" x14ac:dyDescent="0.35">
      <c r="A622">
        <v>621</v>
      </c>
      <c r="B622">
        <v>68.272895653100349</v>
      </c>
      <c r="C622">
        <v>0</v>
      </c>
      <c r="D622">
        <v>6.727104346899651</v>
      </c>
    </row>
    <row r="623" spans="1:4" x14ac:dyDescent="0.35">
      <c r="A623">
        <v>622</v>
      </c>
      <c r="B623">
        <v>70.873826877435249</v>
      </c>
      <c r="C623">
        <v>0</v>
      </c>
      <c r="D623">
        <v>4.1261731225647509</v>
      </c>
    </row>
    <row r="624" spans="1:4" x14ac:dyDescent="0.35">
      <c r="A624">
        <v>623</v>
      </c>
      <c r="B624">
        <v>72.456232512648867</v>
      </c>
      <c r="C624">
        <v>0</v>
      </c>
      <c r="D624">
        <v>2.5437674873511327</v>
      </c>
    </row>
    <row r="625" spans="1:4" x14ac:dyDescent="0.35">
      <c r="A625">
        <v>624</v>
      </c>
      <c r="B625">
        <v>75.934254635561231</v>
      </c>
      <c r="C625">
        <v>0.93425463556123134</v>
      </c>
      <c r="D625">
        <v>0</v>
      </c>
    </row>
    <row r="626" spans="1:4" x14ac:dyDescent="0.35">
      <c r="A626">
        <v>625</v>
      </c>
      <c r="B626">
        <v>55.514083683665355</v>
      </c>
      <c r="C626">
        <v>0</v>
      </c>
      <c r="D626">
        <v>19.485916316334645</v>
      </c>
    </row>
    <row r="627" spans="1:4" x14ac:dyDescent="0.35">
      <c r="A627">
        <v>626</v>
      </c>
      <c r="B627">
        <v>75.173372643540901</v>
      </c>
      <c r="C627">
        <v>0.17337264354090109</v>
      </c>
      <c r="D627">
        <v>0</v>
      </c>
    </row>
    <row r="628" spans="1:4" x14ac:dyDescent="0.35">
      <c r="A628">
        <v>627</v>
      </c>
      <c r="B628">
        <v>85.329054675339108</v>
      </c>
      <c r="C628">
        <v>10.329054675339108</v>
      </c>
      <c r="D628">
        <v>0</v>
      </c>
    </row>
    <row r="629" spans="1:4" x14ac:dyDescent="0.35">
      <c r="A629">
        <v>628</v>
      </c>
      <c r="B629">
        <v>67.246714028229761</v>
      </c>
      <c r="C629">
        <v>0</v>
      </c>
      <c r="D629">
        <v>7.7532859717702394</v>
      </c>
    </row>
    <row r="630" spans="1:4" x14ac:dyDescent="0.35">
      <c r="A630">
        <v>629</v>
      </c>
      <c r="B630">
        <v>60.268725964665514</v>
      </c>
      <c r="C630">
        <v>0</v>
      </c>
      <c r="D630">
        <v>14.731274035334486</v>
      </c>
    </row>
    <row r="631" spans="1:4" x14ac:dyDescent="0.35">
      <c r="A631">
        <v>630</v>
      </c>
      <c r="B631">
        <v>69.399691369920134</v>
      </c>
      <c r="C631">
        <v>0</v>
      </c>
      <c r="D631">
        <v>5.6003086300798657</v>
      </c>
    </row>
    <row r="632" spans="1:4" x14ac:dyDescent="0.35">
      <c r="A632">
        <v>631</v>
      </c>
      <c r="B632">
        <v>79.137966382917995</v>
      </c>
      <c r="C632">
        <v>4.1379663829179947</v>
      </c>
      <c r="D632">
        <v>0</v>
      </c>
    </row>
    <row r="633" spans="1:4" x14ac:dyDescent="0.35">
      <c r="A633">
        <v>632</v>
      </c>
      <c r="B633">
        <v>67.70187371696079</v>
      </c>
      <c r="C633">
        <v>0</v>
      </c>
      <c r="D633">
        <v>7.2981262830392097</v>
      </c>
    </row>
    <row r="634" spans="1:4" x14ac:dyDescent="0.35">
      <c r="A634">
        <v>633</v>
      </c>
      <c r="B634">
        <v>69.061606346369857</v>
      </c>
      <c r="C634">
        <v>0</v>
      </c>
      <c r="D634">
        <v>5.9383936536301434</v>
      </c>
    </row>
    <row r="635" spans="1:4" x14ac:dyDescent="0.35">
      <c r="A635">
        <v>634</v>
      </c>
      <c r="B635">
        <v>78.281272741650383</v>
      </c>
      <c r="C635">
        <v>3.2812727416503833</v>
      </c>
      <c r="D635">
        <v>0</v>
      </c>
    </row>
    <row r="636" spans="1:4" x14ac:dyDescent="0.35">
      <c r="A636">
        <v>635</v>
      </c>
      <c r="B636">
        <v>69.675208144476088</v>
      </c>
      <c r="C636">
        <v>0</v>
      </c>
      <c r="D636">
        <v>5.3247918555239124</v>
      </c>
    </row>
    <row r="637" spans="1:4" x14ac:dyDescent="0.35">
      <c r="A637">
        <v>636</v>
      </c>
      <c r="B637">
        <v>77.354426185972756</v>
      </c>
      <c r="C637">
        <v>2.3544261859727555</v>
      </c>
      <c r="D637">
        <v>0</v>
      </c>
    </row>
    <row r="638" spans="1:4" x14ac:dyDescent="0.35">
      <c r="A638">
        <v>637</v>
      </c>
      <c r="B638">
        <v>71.430176463201335</v>
      </c>
      <c r="C638">
        <v>0</v>
      </c>
      <c r="D638">
        <v>3.5698235367986655</v>
      </c>
    </row>
    <row r="639" spans="1:4" x14ac:dyDescent="0.35">
      <c r="A639">
        <v>638</v>
      </c>
      <c r="B639">
        <v>62.417602369989957</v>
      </c>
      <c r="C639">
        <v>0</v>
      </c>
      <c r="D639">
        <v>12.582397630010043</v>
      </c>
    </row>
    <row r="640" spans="1:4" x14ac:dyDescent="0.35">
      <c r="A640">
        <v>639</v>
      </c>
      <c r="B640">
        <v>65.588214172931202</v>
      </c>
      <c r="C640">
        <v>0</v>
      </c>
      <c r="D640">
        <v>9.4117858270687975</v>
      </c>
    </row>
    <row r="641" spans="1:4" x14ac:dyDescent="0.35">
      <c r="A641">
        <v>640</v>
      </c>
      <c r="B641">
        <v>58.850797412420924</v>
      </c>
      <c r="C641">
        <v>0</v>
      </c>
      <c r="D641">
        <v>16.149202587579076</v>
      </c>
    </row>
    <row r="642" spans="1:4" x14ac:dyDescent="0.35">
      <c r="A642">
        <v>641</v>
      </c>
      <c r="B642">
        <v>94.887574108331009</v>
      </c>
      <c r="C642">
        <v>19.887574108331009</v>
      </c>
      <c r="D642">
        <v>0</v>
      </c>
    </row>
    <row r="643" spans="1:4" x14ac:dyDescent="0.35">
      <c r="A643">
        <v>642</v>
      </c>
      <c r="B643">
        <v>65.739924496052367</v>
      </c>
      <c r="C643">
        <v>0</v>
      </c>
      <c r="D643">
        <v>9.2600755039476326</v>
      </c>
    </row>
    <row r="644" spans="1:4" x14ac:dyDescent="0.35">
      <c r="A644">
        <v>643</v>
      </c>
      <c r="B644">
        <v>74.342452220345891</v>
      </c>
      <c r="C644">
        <v>0</v>
      </c>
      <c r="D644">
        <v>0.65754777965410938</v>
      </c>
    </row>
    <row r="645" spans="1:4" x14ac:dyDescent="0.35">
      <c r="A645">
        <v>644</v>
      </c>
      <c r="B645">
        <v>66.361638703860777</v>
      </c>
      <c r="C645">
        <v>0</v>
      </c>
      <c r="D645">
        <v>8.6383612961392231</v>
      </c>
    </row>
    <row r="646" spans="1:4" x14ac:dyDescent="0.35">
      <c r="A646">
        <v>645</v>
      </c>
      <c r="B646">
        <v>82.581573591963505</v>
      </c>
      <c r="C646">
        <v>7.5815735919635046</v>
      </c>
      <c r="D646">
        <v>0</v>
      </c>
    </row>
    <row r="647" spans="1:4" x14ac:dyDescent="0.35">
      <c r="A647">
        <v>646</v>
      </c>
      <c r="B647">
        <v>66.688228106372549</v>
      </c>
      <c r="C647">
        <v>0</v>
      </c>
      <c r="D647">
        <v>8.3117718936274514</v>
      </c>
    </row>
    <row r="648" spans="1:4" x14ac:dyDescent="0.35">
      <c r="A648">
        <v>647</v>
      </c>
      <c r="B648">
        <v>80.048410619981595</v>
      </c>
      <c r="C648">
        <v>5.0484106199815955</v>
      </c>
      <c r="D648">
        <v>0</v>
      </c>
    </row>
    <row r="649" spans="1:4" x14ac:dyDescent="0.35">
      <c r="A649">
        <v>648</v>
      </c>
      <c r="B649">
        <v>62.446845461457414</v>
      </c>
      <c r="C649">
        <v>0</v>
      </c>
      <c r="D649">
        <v>12.553154538542586</v>
      </c>
    </row>
    <row r="650" spans="1:4" x14ac:dyDescent="0.35">
      <c r="A650">
        <v>649</v>
      </c>
      <c r="B650">
        <v>66.185321807796669</v>
      </c>
      <c r="C650">
        <v>0</v>
      </c>
      <c r="D650">
        <v>8.8146781922033313</v>
      </c>
    </row>
    <row r="651" spans="1:4" x14ac:dyDescent="0.35">
      <c r="A651">
        <v>650</v>
      </c>
      <c r="B651">
        <v>58.043991353666378</v>
      </c>
      <c r="C651">
        <v>0</v>
      </c>
      <c r="D651">
        <v>16.956008646333622</v>
      </c>
    </row>
    <row r="652" spans="1:4" x14ac:dyDescent="0.35">
      <c r="A652">
        <v>651</v>
      </c>
      <c r="B652">
        <v>71.093305371748841</v>
      </c>
      <c r="C652">
        <v>0</v>
      </c>
      <c r="D652">
        <v>3.9066946282511594</v>
      </c>
    </row>
    <row r="653" spans="1:4" x14ac:dyDescent="0.35">
      <c r="A653">
        <v>652</v>
      </c>
      <c r="B653">
        <v>70.080078217719631</v>
      </c>
      <c r="C653">
        <v>0</v>
      </c>
      <c r="D653">
        <v>4.9199217822803689</v>
      </c>
    </row>
    <row r="654" spans="1:4" x14ac:dyDescent="0.35">
      <c r="A654">
        <v>653</v>
      </c>
      <c r="B654">
        <v>73.790863377969657</v>
      </c>
      <c r="C654">
        <v>0</v>
      </c>
      <c r="D654">
        <v>1.2091366220303428</v>
      </c>
    </row>
    <row r="655" spans="1:4" x14ac:dyDescent="0.35">
      <c r="A655">
        <v>654</v>
      </c>
      <c r="B655">
        <v>54.699844568899231</v>
      </c>
      <c r="C655">
        <v>0</v>
      </c>
      <c r="D655">
        <v>20.300155431100769</v>
      </c>
    </row>
    <row r="656" spans="1:4" x14ac:dyDescent="0.35">
      <c r="A656">
        <v>655</v>
      </c>
      <c r="B656">
        <v>66.669230290743101</v>
      </c>
      <c r="C656">
        <v>0</v>
      </c>
      <c r="D656">
        <v>8.3307697092568986</v>
      </c>
    </row>
    <row r="657" spans="1:4" x14ac:dyDescent="0.35">
      <c r="A657">
        <v>656</v>
      </c>
      <c r="B657">
        <v>61.027121207799773</v>
      </c>
      <c r="C657">
        <v>0</v>
      </c>
      <c r="D657">
        <v>13.972878792200227</v>
      </c>
    </row>
    <row r="658" spans="1:4" x14ac:dyDescent="0.35">
      <c r="A658">
        <v>657</v>
      </c>
      <c r="B658">
        <v>66.89774509868748</v>
      </c>
      <c r="C658">
        <v>0</v>
      </c>
      <c r="D658">
        <v>8.10225490131252</v>
      </c>
    </row>
    <row r="659" spans="1:4" x14ac:dyDescent="0.35">
      <c r="A659">
        <v>658</v>
      </c>
      <c r="B659">
        <v>78.717799019378845</v>
      </c>
      <c r="C659">
        <v>3.7177990193788446</v>
      </c>
      <c r="D659">
        <v>0</v>
      </c>
    </row>
    <row r="660" spans="1:4" x14ac:dyDescent="0.35">
      <c r="A660">
        <v>659</v>
      </c>
      <c r="B660">
        <v>74.596515935372594</v>
      </c>
      <c r="C660">
        <v>0</v>
      </c>
      <c r="D660">
        <v>0.40348406462740627</v>
      </c>
    </row>
    <row r="661" spans="1:4" x14ac:dyDescent="0.35">
      <c r="A661">
        <v>660</v>
      </c>
      <c r="B661">
        <v>91.757876399933082</v>
      </c>
      <c r="C661">
        <v>16.757876399933082</v>
      </c>
      <c r="D661">
        <v>0</v>
      </c>
    </row>
    <row r="662" spans="1:4" x14ac:dyDescent="0.35">
      <c r="A662">
        <v>661</v>
      </c>
      <c r="B662">
        <v>81.410159138152167</v>
      </c>
      <c r="C662">
        <v>6.4101591381521672</v>
      </c>
      <c r="D662">
        <v>0</v>
      </c>
    </row>
    <row r="663" spans="1:4" x14ac:dyDescent="0.35">
      <c r="A663">
        <v>662</v>
      </c>
      <c r="B663">
        <v>72.637149036230298</v>
      </c>
      <c r="C663">
        <v>0</v>
      </c>
      <c r="D663">
        <v>2.3628509637697022</v>
      </c>
    </row>
    <row r="664" spans="1:4" x14ac:dyDescent="0.35">
      <c r="A664">
        <v>663</v>
      </c>
      <c r="B664">
        <v>74.035528785126431</v>
      </c>
      <c r="C664">
        <v>0</v>
      </c>
      <c r="D664">
        <v>0.96447121487356924</v>
      </c>
    </row>
    <row r="665" spans="1:4" x14ac:dyDescent="0.35">
      <c r="A665">
        <v>664</v>
      </c>
      <c r="B665">
        <v>62.975468954403198</v>
      </c>
      <c r="C665">
        <v>0</v>
      </c>
      <c r="D665">
        <v>12.024531045596802</v>
      </c>
    </row>
    <row r="666" spans="1:4" x14ac:dyDescent="0.35">
      <c r="A666">
        <v>665</v>
      </c>
      <c r="B666">
        <v>85.501842466694171</v>
      </c>
      <c r="C666">
        <v>10.501842466694171</v>
      </c>
      <c r="D666">
        <v>0</v>
      </c>
    </row>
    <row r="667" spans="1:4" x14ac:dyDescent="0.35">
      <c r="A667">
        <v>666</v>
      </c>
      <c r="B667">
        <v>66.678270310474488</v>
      </c>
      <c r="C667">
        <v>0</v>
      </c>
      <c r="D667">
        <v>8.3217296895255117</v>
      </c>
    </row>
    <row r="668" spans="1:4" x14ac:dyDescent="0.35">
      <c r="A668">
        <v>667</v>
      </c>
      <c r="B668">
        <v>73.863312960158495</v>
      </c>
      <c r="C668">
        <v>0</v>
      </c>
      <c r="D668">
        <v>1.1366870398415045</v>
      </c>
    </row>
    <row r="669" spans="1:4" x14ac:dyDescent="0.35">
      <c r="A669">
        <v>668</v>
      </c>
      <c r="B669">
        <v>73.7765094677289</v>
      </c>
      <c r="C669">
        <v>0</v>
      </c>
      <c r="D669">
        <v>1.2234905322711001</v>
      </c>
    </row>
    <row r="670" spans="1:4" x14ac:dyDescent="0.35">
      <c r="A670">
        <v>669</v>
      </c>
      <c r="B670">
        <v>78.970914009721184</v>
      </c>
      <c r="C670">
        <v>3.9709140097211844</v>
      </c>
      <c r="D670">
        <v>0</v>
      </c>
    </row>
    <row r="671" spans="1:4" x14ac:dyDescent="0.35">
      <c r="A671">
        <v>670</v>
      </c>
      <c r="B671">
        <v>77.196437158349681</v>
      </c>
      <c r="C671">
        <v>2.1964371583496813</v>
      </c>
      <c r="D671">
        <v>0</v>
      </c>
    </row>
    <row r="672" spans="1:4" x14ac:dyDescent="0.35">
      <c r="A672">
        <v>671</v>
      </c>
      <c r="B672">
        <v>76.329333474801359</v>
      </c>
      <c r="C672">
        <v>1.3293334748013592</v>
      </c>
      <c r="D672">
        <v>0</v>
      </c>
    </row>
    <row r="673" spans="1:4" x14ac:dyDescent="0.35">
      <c r="A673">
        <v>672</v>
      </c>
      <c r="B673">
        <v>78.735007503706143</v>
      </c>
      <c r="C673">
        <v>3.735007503706143</v>
      </c>
      <c r="D673">
        <v>0</v>
      </c>
    </row>
    <row r="674" spans="1:4" x14ac:dyDescent="0.35">
      <c r="A674">
        <v>673</v>
      </c>
      <c r="B674">
        <v>65.029330700054089</v>
      </c>
      <c r="C674">
        <v>0</v>
      </c>
      <c r="D674">
        <v>9.9706692999459108</v>
      </c>
    </row>
    <row r="675" spans="1:4" x14ac:dyDescent="0.35">
      <c r="A675">
        <v>674</v>
      </c>
      <c r="B675">
        <v>72.526355212984583</v>
      </c>
      <c r="C675">
        <v>0</v>
      </c>
      <c r="D675">
        <v>2.4736447870154166</v>
      </c>
    </row>
    <row r="676" spans="1:4" x14ac:dyDescent="0.35">
      <c r="A676">
        <v>675</v>
      </c>
      <c r="B676">
        <v>71.490134647312871</v>
      </c>
      <c r="C676">
        <v>0</v>
      </c>
      <c r="D676">
        <v>3.5098653526871288</v>
      </c>
    </row>
    <row r="677" spans="1:4" x14ac:dyDescent="0.35">
      <c r="A677">
        <v>676</v>
      </c>
      <c r="B677">
        <v>72.928523614542556</v>
      </c>
      <c r="C677">
        <v>0</v>
      </c>
      <c r="D677">
        <v>2.0714763854574443</v>
      </c>
    </row>
    <row r="678" spans="1:4" x14ac:dyDescent="0.35">
      <c r="A678">
        <v>677</v>
      </c>
      <c r="B678">
        <v>65.685858427604785</v>
      </c>
      <c r="C678">
        <v>0</v>
      </c>
      <c r="D678">
        <v>9.314141572395215</v>
      </c>
    </row>
    <row r="679" spans="1:4" x14ac:dyDescent="0.35">
      <c r="A679">
        <v>678</v>
      </c>
      <c r="B679">
        <v>69.157481645586202</v>
      </c>
      <c r="C679">
        <v>0</v>
      </c>
      <c r="D679">
        <v>5.842518354413798</v>
      </c>
    </row>
    <row r="680" spans="1:4" x14ac:dyDescent="0.35">
      <c r="A680">
        <v>679</v>
      </c>
      <c r="B680">
        <v>67.507320225653345</v>
      </c>
      <c r="C680">
        <v>0</v>
      </c>
      <c r="D680">
        <v>7.4926797743466551</v>
      </c>
    </row>
    <row r="681" spans="1:4" x14ac:dyDescent="0.35">
      <c r="A681">
        <v>680</v>
      </c>
      <c r="B681">
        <v>93.273650477396899</v>
      </c>
      <c r="C681">
        <v>18.273650477396899</v>
      </c>
      <c r="D681">
        <v>0</v>
      </c>
    </row>
    <row r="682" spans="1:4" x14ac:dyDescent="0.35">
      <c r="A682">
        <v>681</v>
      </c>
      <c r="B682">
        <v>71.731925950151293</v>
      </c>
      <c r="C682">
        <v>0</v>
      </c>
      <c r="D682">
        <v>3.2680740498487069</v>
      </c>
    </row>
    <row r="683" spans="1:4" x14ac:dyDescent="0.35">
      <c r="A683">
        <v>682</v>
      </c>
      <c r="B683">
        <v>73.391476453568202</v>
      </c>
      <c r="C683">
        <v>0</v>
      </c>
      <c r="D683">
        <v>1.6085235464317975</v>
      </c>
    </row>
    <row r="684" spans="1:4" x14ac:dyDescent="0.35">
      <c r="A684">
        <v>683</v>
      </c>
      <c r="B684">
        <v>70.383689955217065</v>
      </c>
      <c r="C684">
        <v>0</v>
      </c>
      <c r="D684">
        <v>4.6163100447829351</v>
      </c>
    </row>
    <row r="685" spans="1:4" x14ac:dyDescent="0.35">
      <c r="A685">
        <v>684</v>
      </c>
      <c r="B685">
        <v>54.895041218174605</v>
      </c>
      <c r="C685">
        <v>0</v>
      </c>
      <c r="D685">
        <v>20.104958781825395</v>
      </c>
    </row>
    <row r="686" spans="1:4" x14ac:dyDescent="0.35">
      <c r="A686">
        <v>685</v>
      </c>
      <c r="B686">
        <v>68.20088621545446</v>
      </c>
      <c r="C686">
        <v>0</v>
      </c>
      <c r="D686">
        <v>6.7991137845455398</v>
      </c>
    </row>
    <row r="687" spans="1:4" x14ac:dyDescent="0.35">
      <c r="A687">
        <v>686</v>
      </c>
      <c r="B687">
        <v>61.107758938695447</v>
      </c>
      <c r="C687">
        <v>0</v>
      </c>
      <c r="D687">
        <v>13.892241061304553</v>
      </c>
    </row>
    <row r="688" spans="1:4" x14ac:dyDescent="0.35">
      <c r="A688">
        <v>687</v>
      </c>
      <c r="B688">
        <v>75.356310824924435</v>
      </c>
      <c r="C688">
        <v>0.35631082492443511</v>
      </c>
      <c r="D688">
        <v>0</v>
      </c>
    </row>
    <row r="689" spans="1:4" x14ac:dyDescent="0.35">
      <c r="A689">
        <v>688</v>
      </c>
      <c r="B689">
        <v>61.696920561396176</v>
      </c>
      <c r="C689">
        <v>0</v>
      </c>
      <c r="D689">
        <v>13.303079438603824</v>
      </c>
    </row>
    <row r="690" spans="1:4" x14ac:dyDescent="0.35">
      <c r="A690">
        <v>689</v>
      </c>
      <c r="B690">
        <v>63.227336692952981</v>
      </c>
      <c r="C690">
        <v>0</v>
      </c>
      <c r="D690">
        <v>11.772663307047019</v>
      </c>
    </row>
    <row r="691" spans="1:4" x14ac:dyDescent="0.35">
      <c r="A691">
        <v>690</v>
      </c>
      <c r="B691">
        <v>68.141597269337964</v>
      </c>
      <c r="C691">
        <v>0</v>
      </c>
      <c r="D691">
        <v>6.8584027306620357</v>
      </c>
    </row>
    <row r="692" spans="1:4" x14ac:dyDescent="0.35">
      <c r="A692">
        <v>691</v>
      </c>
      <c r="B692">
        <v>59.272861364517972</v>
      </c>
      <c r="C692">
        <v>0</v>
      </c>
      <c r="D692">
        <v>15.727138635482028</v>
      </c>
    </row>
    <row r="693" spans="1:4" x14ac:dyDescent="0.35">
      <c r="A693">
        <v>692</v>
      </c>
      <c r="B693">
        <v>74.26800565774451</v>
      </c>
      <c r="C693">
        <v>0</v>
      </c>
      <c r="D693">
        <v>0.73199434225548998</v>
      </c>
    </row>
    <row r="694" spans="1:4" x14ac:dyDescent="0.35">
      <c r="A694">
        <v>693</v>
      </c>
      <c r="B694">
        <v>76.800388424102863</v>
      </c>
      <c r="C694">
        <v>1.8003884241028629</v>
      </c>
      <c r="D694">
        <v>0</v>
      </c>
    </row>
    <row r="695" spans="1:4" x14ac:dyDescent="0.35">
      <c r="A695">
        <v>694</v>
      </c>
      <c r="B695">
        <v>69.749798095436049</v>
      </c>
      <c r="C695">
        <v>0</v>
      </c>
      <c r="D695">
        <v>5.2502019045639514</v>
      </c>
    </row>
    <row r="696" spans="1:4" x14ac:dyDescent="0.35">
      <c r="A696">
        <v>695</v>
      </c>
      <c r="B696">
        <v>69.283468520360898</v>
      </c>
      <c r="C696">
        <v>0</v>
      </c>
      <c r="D696">
        <v>5.7165314796391016</v>
      </c>
    </row>
    <row r="697" spans="1:4" x14ac:dyDescent="0.35">
      <c r="A697">
        <v>696</v>
      </c>
      <c r="B697">
        <v>67.134221231257328</v>
      </c>
      <c r="C697">
        <v>0</v>
      </c>
      <c r="D697">
        <v>7.8657787687426719</v>
      </c>
    </row>
    <row r="698" spans="1:4" x14ac:dyDescent="0.35">
      <c r="A698">
        <v>697</v>
      </c>
      <c r="B698">
        <v>76.751343358426865</v>
      </c>
      <c r="C698">
        <v>1.7513433584268654</v>
      </c>
      <c r="D698">
        <v>0</v>
      </c>
    </row>
    <row r="699" spans="1:4" x14ac:dyDescent="0.35">
      <c r="A699">
        <v>698</v>
      </c>
      <c r="B699">
        <v>63.701698137114953</v>
      </c>
      <c r="C699">
        <v>0</v>
      </c>
      <c r="D699">
        <v>11.298301862885047</v>
      </c>
    </row>
    <row r="700" spans="1:4" x14ac:dyDescent="0.35">
      <c r="A700">
        <v>699</v>
      </c>
      <c r="B700">
        <v>56.027231396225062</v>
      </c>
      <c r="C700">
        <v>0</v>
      </c>
      <c r="D700">
        <v>18.972768603774938</v>
      </c>
    </row>
    <row r="701" spans="1:4" x14ac:dyDescent="0.35">
      <c r="A701">
        <v>700</v>
      </c>
      <c r="B701">
        <v>84.458382387840487</v>
      </c>
      <c r="C701">
        <v>9.4583823878404871</v>
      </c>
      <c r="D701">
        <v>0</v>
      </c>
    </row>
    <row r="702" spans="1:4" x14ac:dyDescent="0.35">
      <c r="A702">
        <v>701</v>
      </c>
      <c r="B702">
        <v>55.964495136306667</v>
      </c>
      <c r="C702">
        <v>0</v>
      </c>
      <c r="D702">
        <v>19.035504863693333</v>
      </c>
    </row>
    <row r="703" spans="1:4" x14ac:dyDescent="0.35">
      <c r="A703">
        <v>702</v>
      </c>
      <c r="B703">
        <v>70.226562459692715</v>
      </c>
      <c r="C703">
        <v>0</v>
      </c>
      <c r="D703">
        <v>4.7734375403072846</v>
      </c>
    </row>
    <row r="704" spans="1:4" x14ac:dyDescent="0.35">
      <c r="A704">
        <v>703</v>
      </c>
      <c r="B704">
        <v>77.98776882119094</v>
      </c>
      <c r="C704">
        <v>2.9877688211909401</v>
      </c>
      <c r="D704">
        <v>0</v>
      </c>
    </row>
    <row r="705" spans="1:4" x14ac:dyDescent="0.35">
      <c r="A705">
        <v>704</v>
      </c>
      <c r="B705">
        <v>78.549397584056464</v>
      </c>
      <c r="C705">
        <v>3.5493975840564644</v>
      </c>
      <c r="D705">
        <v>0</v>
      </c>
    </row>
    <row r="706" spans="1:4" x14ac:dyDescent="0.35">
      <c r="A706">
        <v>705</v>
      </c>
      <c r="B706">
        <v>81.183718648533102</v>
      </c>
      <c r="C706">
        <v>6.1837186485331017</v>
      </c>
      <c r="D706">
        <v>0</v>
      </c>
    </row>
    <row r="707" spans="1:4" x14ac:dyDescent="0.35">
      <c r="A707">
        <v>706</v>
      </c>
      <c r="B707">
        <v>63.595753828590375</v>
      </c>
      <c r="C707">
        <v>0</v>
      </c>
      <c r="D707">
        <v>11.404246171409625</v>
      </c>
    </row>
    <row r="708" spans="1:4" x14ac:dyDescent="0.35">
      <c r="A708">
        <v>707</v>
      </c>
      <c r="B708">
        <v>70.476904299848329</v>
      </c>
      <c r="C708">
        <v>0</v>
      </c>
      <c r="D708">
        <v>4.5230957001516714</v>
      </c>
    </row>
    <row r="709" spans="1:4" x14ac:dyDescent="0.35">
      <c r="A709">
        <v>708</v>
      </c>
      <c r="B709">
        <v>83.407396849038193</v>
      </c>
      <c r="C709">
        <v>8.407396849038193</v>
      </c>
      <c r="D709">
        <v>0</v>
      </c>
    </row>
    <row r="710" spans="1:4" x14ac:dyDescent="0.35">
      <c r="A710">
        <v>709</v>
      </c>
      <c r="B710">
        <v>81.440331349641255</v>
      </c>
      <c r="C710">
        <v>6.4403313496412551</v>
      </c>
      <c r="D710">
        <v>0</v>
      </c>
    </row>
    <row r="711" spans="1:4" x14ac:dyDescent="0.35">
      <c r="A711">
        <v>710</v>
      </c>
      <c r="B711">
        <v>69.02173388921895</v>
      </c>
      <c r="C711">
        <v>0</v>
      </c>
      <c r="D711">
        <v>5.9782661107810497</v>
      </c>
    </row>
    <row r="712" spans="1:4" x14ac:dyDescent="0.35">
      <c r="A712">
        <v>711</v>
      </c>
      <c r="B712">
        <v>70.321266059269632</v>
      </c>
      <c r="C712">
        <v>0</v>
      </c>
      <c r="D712">
        <v>4.6787339407303676</v>
      </c>
    </row>
    <row r="713" spans="1:4" x14ac:dyDescent="0.35">
      <c r="A713">
        <v>712</v>
      </c>
      <c r="B713">
        <v>67.465289788085613</v>
      </c>
      <c r="C713">
        <v>0</v>
      </c>
      <c r="D713">
        <v>7.5347102119143869</v>
      </c>
    </row>
    <row r="714" spans="1:4" x14ac:dyDescent="0.35">
      <c r="A714">
        <v>713</v>
      </c>
      <c r="B714">
        <v>64.778423524839809</v>
      </c>
      <c r="C714">
        <v>0</v>
      </c>
      <c r="D714">
        <v>10.221576475160191</v>
      </c>
    </row>
    <row r="715" spans="1:4" x14ac:dyDescent="0.35">
      <c r="A715">
        <v>714</v>
      </c>
      <c r="B715">
        <v>80.520746694783341</v>
      </c>
      <c r="C715">
        <v>5.520746694783341</v>
      </c>
      <c r="D715">
        <v>0</v>
      </c>
    </row>
    <row r="716" spans="1:4" x14ac:dyDescent="0.35">
      <c r="A716">
        <v>715</v>
      </c>
      <c r="B716">
        <v>72.386708166330351</v>
      </c>
      <c r="C716">
        <v>0</v>
      </c>
      <c r="D716">
        <v>2.6132918336696491</v>
      </c>
    </row>
    <row r="717" spans="1:4" x14ac:dyDescent="0.35">
      <c r="A717">
        <v>716</v>
      </c>
      <c r="B717">
        <v>72.231082057360538</v>
      </c>
      <c r="C717">
        <v>0</v>
      </c>
      <c r="D717">
        <v>2.7689179426394617</v>
      </c>
    </row>
    <row r="718" spans="1:4" x14ac:dyDescent="0.35">
      <c r="A718">
        <v>717</v>
      </c>
      <c r="B718">
        <v>74.579454266456722</v>
      </c>
      <c r="C718">
        <v>0</v>
      </c>
      <c r="D718">
        <v>0.42054573354327829</v>
      </c>
    </row>
    <row r="719" spans="1:4" x14ac:dyDescent="0.35">
      <c r="A719">
        <v>718</v>
      </c>
      <c r="B719">
        <v>58.89621506898289</v>
      </c>
      <c r="C719">
        <v>0</v>
      </c>
      <c r="D719">
        <v>16.10378493101711</v>
      </c>
    </row>
    <row r="720" spans="1:4" x14ac:dyDescent="0.35">
      <c r="A720">
        <v>719</v>
      </c>
      <c r="B720">
        <v>77.072941202578491</v>
      </c>
      <c r="C720">
        <v>2.072941202578491</v>
      </c>
      <c r="D720">
        <v>0</v>
      </c>
    </row>
    <row r="721" spans="1:4" x14ac:dyDescent="0.35">
      <c r="A721">
        <v>720</v>
      </c>
      <c r="B721">
        <v>65.027351153360684</v>
      </c>
      <c r="C721">
        <v>0</v>
      </c>
      <c r="D721">
        <v>9.9726488466393164</v>
      </c>
    </row>
    <row r="722" spans="1:4" x14ac:dyDescent="0.35">
      <c r="A722">
        <v>721</v>
      </c>
      <c r="B722">
        <v>57.073074468719746</v>
      </c>
      <c r="C722">
        <v>0</v>
      </c>
      <c r="D722">
        <v>17.926925531280254</v>
      </c>
    </row>
    <row r="723" spans="1:4" x14ac:dyDescent="0.35">
      <c r="A723">
        <v>722</v>
      </c>
      <c r="B723">
        <v>65.509682656028048</v>
      </c>
      <c r="C723">
        <v>0</v>
      </c>
      <c r="D723">
        <v>9.4903173439719524</v>
      </c>
    </row>
    <row r="724" spans="1:4" x14ac:dyDescent="0.35">
      <c r="A724">
        <v>723</v>
      </c>
      <c r="B724">
        <v>91.287755951604012</v>
      </c>
      <c r="C724">
        <v>16.287755951604012</v>
      </c>
      <c r="D724">
        <v>0</v>
      </c>
    </row>
    <row r="725" spans="1:4" x14ac:dyDescent="0.35">
      <c r="A725">
        <v>724</v>
      </c>
      <c r="B725">
        <v>66.898344651143006</v>
      </c>
      <c r="C725">
        <v>0</v>
      </c>
      <c r="D725">
        <v>8.101655348856994</v>
      </c>
    </row>
    <row r="726" spans="1:4" x14ac:dyDescent="0.35">
      <c r="A726">
        <v>725</v>
      </c>
      <c r="B726">
        <v>75.170592171495372</v>
      </c>
      <c r="C726">
        <v>0.17059217149537176</v>
      </c>
      <c r="D726">
        <v>0</v>
      </c>
    </row>
    <row r="727" spans="1:4" x14ac:dyDescent="0.35">
      <c r="A727">
        <v>726</v>
      </c>
      <c r="B727">
        <v>67.838662381079345</v>
      </c>
      <c r="C727">
        <v>0</v>
      </c>
      <c r="D727">
        <v>7.1613376189206548</v>
      </c>
    </row>
    <row r="728" spans="1:4" x14ac:dyDescent="0.35">
      <c r="A728">
        <v>727</v>
      </c>
      <c r="B728">
        <v>68.002387110713727</v>
      </c>
      <c r="C728">
        <v>0</v>
      </c>
      <c r="D728">
        <v>6.9976128892862732</v>
      </c>
    </row>
    <row r="729" spans="1:4" x14ac:dyDescent="0.35">
      <c r="A729">
        <v>728</v>
      </c>
      <c r="B729">
        <v>66.894762734969646</v>
      </c>
      <c r="C729">
        <v>0</v>
      </c>
      <c r="D729">
        <v>8.1052372650303539</v>
      </c>
    </row>
    <row r="730" spans="1:4" x14ac:dyDescent="0.35">
      <c r="A730">
        <v>729</v>
      </c>
      <c r="B730">
        <v>63.753096738325183</v>
      </c>
      <c r="C730">
        <v>0</v>
      </c>
      <c r="D730">
        <v>11.246903261674817</v>
      </c>
    </row>
    <row r="731" spans="1:4" x14ac:dyDescent="0.35">
      <c r="A731">
        <v>730</v>
      </c>
      <c r="B731">
        <v>63.678177017083051</v>
      </c>
      <c r="C731">
        <v>0</v>
      </c>
      <c r="D731">
        <v>11.321822982916949</v>
      </c>
    </row>
    <row r="732" spans="1:4" x14ac:dyDescent="0.35">
      <c r="A732">
        <v>731</v>
      </c>
      <c r="B732">
        <v>69.340675001992722</v>
      </c>
      <c r="C732">
        <v>0</v>
      </c>
      <c r="D732">
        <v>5.6593249980072784</v>
      </c>
    </row>
    <row r="733" spans="1:4" x14ac:dyDescent="0.35">
      <c r="A733">
        <v>732</v>
      </c>
      <c r="B733">
        <v>74.32591192389819</v>
      </c>
      <c r="C733">
        <v>0</v>
      </c>
      <c r="D733">
        <v>0.67408807610181043</v>
      </c>
    </row>
    <row r="734" spans="1:4" x14ac:dyDescent="0.35">
      <c r="A734">
        <v>733</v>
      </c>
      <c r="B734">
        <v>64.552818273706634</v>
      </c>
      <c r="C734">
        <v>0</v>
      </c>
      <c r="D734">
        <v>10.447181726293366</v>
      </c>
    </row>
    <row r="735" spans="1:4" x14ac:dyDescent="0.35">
      <c r="A735">
        <v>734</v>
      </c>
      <c r="B735">
        <v>76.299397218367034</v>
      </c>
      <c r="C735">
        <v>1.2993972183670337</v>
      </c>
      <c r="D735">
        <v>0</v>
      </c>
    </row>
    <row r="736" spans="1:4" x14ac:dyDescent="0.35">
      <c r="A736">
        <v>735</v>
      </c>
      <c r="B736">
        <v>73.580285107846478</v>
      </c>
      <c r="C736">
        <v>0</v>
      </c>
      <c r="D736">
        <v>1.4197148921535216</v>
      </c>
    </row>
    <row r="737" spans="1:4" x14ac:dyDescent="0.35">
      <c r="A737">
        <v>736</v>
      </c>
      <c r="B737">
        <v>73.926024534389612</v>
      </c>
      <c r="C737">
        <v>0</v>
      </c>
      <c r="D737">
        <v>1.0739754656103884</v>
      </c>
    </row>
    <row r="738" spans="1:4" x14ac:dyDescent="0.35">
      <c r="A738">
        <v>737</v>
      </c>
      <c r="B738">
        <v>58.390928966045912</v>
      </c>
      <c r="C738">
        <v>0</v>
      </c>
      <c r="D738">
        <v>16.609071033954088</v>
      </c>
    </row>
    <row r="739" spans="1:4" x14ac:dyDescent="0.35">
      <c r="A739">
        <v>738</v>
      </c>
      <c r="B739">
        <v>56.089271588859418</v>
      </c>
      <c r="C739">
        <v>0</v>
      </c>
      <c r="D739">
        <v>18.910728411140582</v>
      </c>
    </row>
    <row r="740" spans="1:4" x14ac:dyDescent="0.35">
      <c r="A740">
        <v>739</v>
      </c>
      <c r="B740">
        <v>61.696090062073708</v>
      </c>
      <c r="C740">
        <v>0</v>
      </c>
      <c r="D740">
        <v>13.303909937926292</v>
      </c>
    </row>
    <row r="741" spans="1:4" x14ac:dyDescent="0.35">
      <c r="A741">
        <v>740</v>
      </c>
      <c r="B741">
        <v>64.690607252217305</v>
      </c>
      <c r="C741">
        <v>0</v>
      </c>
      <c r="D741">
        <v>10.309392747782695</v>
      </c>
    </row>
    <row r="742" spans="1:4" x14ac:dyDescent="0.35">
      <c r="A742">
        <v>741</v>
      </c>
      <c r="B742">
        <v>68.730000413695493</v>
      </c>
      <c r="C742">
        <v>0</v>
      </c>
      <c r="D742">
        <v>6.2699995863045075</v>
      </c>
    </row>
    <row r="743" spans="1:4" x14ac:dyDescent="0.35">
      <c r="A743">
        <v>742</v>
      </c>
      <c r="B743">
        <v>73.420644184788046</v>
      </c>
      <c r="C743">
        <v>0</v>
      </c>
      <c r="D743">
        <v>1.5793558152119545</v>
      </c>
    </row>
    <row r="744" spans="1:4" x14ac:dyDescent="0.35">
      <c r="A744">
        <v>743</v>
      </c>
      <c r="B744">
        <v>65.850261878249839</v>
      </c>
      <c r="C744">
        <v>0</v>
      </c>
      <c r="D744">
        <v>9.1497381217501612</v>
      </c>
    </row>
    <row r="745" spans="1:4" x14ac:dyDescent="0.35">
      <c r="A745">
        <v>744</v>
      </c>
      <c r="B745">
        <v>81.808776139002759</v>
      </c>
      <c r="C745">
        <v>6.8087761390027595</v>
      </c>
      <c r="D745">
        <v>0</v>
      </c>
    </row>
    <row r="746" spans="1:4" x14ac:dyDescent="0.35">
      <c r="A746">
        <v>745</v>
      </c>
      <c r="B746">
        <v>85.233536630691972</v>
      </c>
      <c r="C746">
        <v>10.233536630691972</v>
      </c>
      <c r="D746">
        <v>0</v>
      </c>
    </row>
    <row r="747" spans="1:4" x14ac:dyDescent="0.35">
      <c r="A747">
        <v>746</v>
      </c>
      <c r="B747">
        <v>71.933896609166169</v>
      </c>
      <c r="C747">
        <v>0</v>
      </c>
      <c r="D747">
        <v>3.0661033908338311</v>
      </c>
    </row>
    <row r="748" spans="1:4" x14ac:dyDescent="0.35">
      <c r="A748">
        <v>747</v>
      </c>
      <c r="B748">
        <v>68.448026607768483</v>
      </c>
      <c r="C748">
        <v>0</v>
      </c>
      <c r="D748">
        <v>6.5519733922315169</v>
      </c>
    </row>
    <row r="749" spans="1:4" x14ac:dyDescent="0.35">
      <c r="A749">
        <v>748</v>
      </c>
      <c r="B749">
        <v>48.161320522751559</v>
      </c>
      <c r="C749">
        <v>0</v>
      </c>
      <c r="D749">
        <v>26.838679477248441</v>
      </c>
    </row>
    <row r="750" spans="1:4" x14ac:dyDescent="0.35">
      <c r="A750">
        <v>749</v>
      </c>
      <c r="B750">
        <v>64.824379308147797</v>
      </c>
      <c r="C750">
        <v>0</v>
      </c>
      <c r="D750">
        <v>10.175620691852203</v>
      </c>
    </row>
    <row r="751" spans="1:4" x14ac:dyDescent="0.35">
      <c r="A751">
        <v>750</v>
      </c>
      <c r="B751">
        <v>62.044009143570037</v>
      </c>
      <c r="C751">
        <v>0</v>
      </c>
      <c r="D751">
        <v>12.955990856429963</v>
      </c>
    </row>
    <row r="752" spans="1:4" x14ac:dyDescent="0.35">
      <c r="A752">
        <v>751</v>
      </c>
      <c r="B752">
        <v>75.097551161454831</v>
      </c>
      <c r="C752">
        <v>9.7551161454831004E-2</v>
      </c>
      <c r="D752">
        <v>0</v>
      </c>
    </row>
    <row r="753" spans="1:4" x14ac:dyDescent="0.35">
      <c r="A753">
        <v>752</v>
      </c>
      <c r="B753">
        <v>95.502815288513645</v>
      </c>
      <c r="C753">
        <v>20.502815288513645</v>
      </c>
      <c r="D753">
        <v>0</v>
      </c>
    </row>
    <row r="754" spans="1:4" x14ac:dyDescent="0.35">
      <c r="A754">
        <v>753</v>
      </c>
      <c r="B754">
        <v>66.501945131265643</v>
      </c>
      <c r="C754">
        <v>0</v>
      </c>
      <c r="D754">
        <v>8.4980548687343571</v>
      </c>
    </row>
    <row r="755" spans="1:4" x14ac:dyDescent="0.35">
      <c r="A755">
        <v>754</v>
      </c>
      <c r="B755">
        <v>64.529988218641989</v>
      </c>
      <c r="C755">
        <v>0</v>
      </c>
      <c r="D755">
        <v>10.470011781358011</v>
      </c>
    </row>
    <row r="756" spans="1:4" x14ac:dyDescent="0.35">
      <c r="A756">
        <v>755</v>
      </c>
      <c r="B756">
        <v>84.008719922215889</v>
      </c>
      <c r="C756">
        <v>9.0087199222158887</v>
      </c>
      <c r="D756">
        <v>0</v>
      </c>
    </row>
    <row r="757" spans="1:4" x14ac:dyDescent="0.35">
      <c r="A757">
        <v>756</v>
      </c>
      <c r="B757">
        <v>60.787244698048895</v>
      </c>
      <c r="C757">
        <v>0</v>
      </c>
      <c r="D757">
        <v>14.212755301951105</v>
      </c>
    </row>
    <row r="758" spans="1:4" x14ac:dyDescent="0.35">
      <c r="A758">
        <v>757</v>
      </c>
      <c r="B758">
        <v>73.04816011670151</v>
      </c>
      <c r="C758">
        <v>0</v>
      </c>
      <c r="D758">
        <v>1.95183988329849</v>
      </c>
    </row>
    <row r="759" spans="1:4" x14ac:dyDescent="0.35">
      <c r="A759">
        <v>758</v>
      </c>
      <c r="B759">
        <v>74.03773612241109</v>
      </c>
      <c r="C759">
        <v>0</v>
      </c>
      <c r="D759">
        <v>0.96226387758891008</v>
      </c>
    </row>
    <row r="760" spans="1:4" x14ac:dyDescent="0.35">
      <c r="A760">
        <v>759</v>
      </c>
      <c r="B760">
        <v>74.126297596545541</v>
      </c>
      <c r="C760">
        <v>0</v>
      </c>
      <c r="D760">
        <v>0.87370240345445893</v>
      </c>
    </row>
    <row r="761" spans="1:4" x14ac:dyDescent="0.35">
      <c r="A761">
        <v>760</v>
      </c>
      <c r="B761">
        <v>76.535764844075985</v>
      </c>
      <c r="C761">
        <v>1.5357648440759846</v>
      </c>
      <c r="D761">
        <v>0</v>
      </c>
    </row>
    <row r="762" spans="1:4" x14ac:dyDescent="0.35">
      <c r="A762">
        <v>761</v>
      </c>
      <c r="B762">
        <v>82.466931112143115</v>
      </c>
      <c r="C762">
        <v>7.466931112143115</v>
      </c>
      <c r="D762">
        <v>0</v>
      </c>
    </row>
    <row r="763" spans="1:4" x14ac:dyDescent="0.35">
      <c r="A763">
        <v>762</v>
      </c>
      <c r="B763">
        <v>59.369175583949044</v>
      </c>
      <c r="C763">
        <v>0</v>
      </c>
      <c r="D763">
        <v>15.630824416050956</v>
      </c>
    </row>
    <row r="764" spans="1:4" x14ac:dyDescent="0.35">
      <c r="A764">
        <v>763</v>
      </c>
      <c r="B764">
        <v>68.621814656728532</v>
      </c>
      <c r="C764">
        <v>0</v>
      </c>
      <c r="D764">
        <v>6.3781853432714684</v>
      </c>
    </row>
    <row r="765" spans="1:4" x14ac:dyDescent="0.35">
      <c r="A765">
        <v>764</v>
      </c>
      <c r="B765">
        <v>81.193774443170298</v>
      </c>
      <c r="C765">
        <v>6.1937744431702981</v>
      </c>
      <c r="D765">
        <v>0</v>
      </c>
    </row>
    <row r="766" spans="1:4" x14ac:dyDescent="0.35">
      <c r="A766">
        <v>765</v>
      </c>
      <c r="B766">
        <v>65.312926173809601</v>
      </c>
      <c r="C766">
        <v>0</v>
      </c>
      <c r="D766">
        <v>9.6870738261903995</v>
      </c>
    </row>
    <row r="767" spans="1:4" x14ac:dyDescent="0.35">
      <c r="A767">
        <v>766</v>
      </c>
      <c r="B767">
        <v>76.067895770599549</v>
      </c>
      <c r="C767">
        <v>1.0678957705995487</v>
      </c>
      <c r="D767">
        <v>0</v>
      </c>
    </row>
    <row r="768" spans="1:4" x14ac:dyDescent="0.35">
      <c r="A768">
        <v>767</v>
      </c>
      <c r="B768">
        <v>68.665820180549318</v>
      </c>
      <c r="C768">
        <v>0</v>
      </c>
      <c r="D768">
        <v>6.3341798194506822</v>
      </c>
    </row>
    <row r="769" spans="1:4" x14ac:dyDescent="0.35">
      <c r="A769">
        <v>768</v>
      </c>
      <c r="B769">
        <v>81.716812849933973</v>
      </c>
      <c r="C769">
        <v>6.716812849933973</v>
      </c>
      <c r="D769">
        <v>0</v>
      </c>
    </row>
    <row r="770" spans="1:4" x14ac:dyDescent="0.35">
      <c r="A770">
        <v>769</v>
      </c>
      <c r="B770">
        <v>69.581573737549434</v>
      </c>
      <c r="C770">
        <v>0</v>
      </c>
      <c r="D770">
        <v>5.4184262624505664</v>
      </c>
    </row>
    <row r="771" spans="1:4" x14ac:dyDescent="0.35">
      <c r="A771">
        <v>770</v>
      </c>
      <c r="B771">
        <v>81.789429925213824</v>
      </c>
      <c r="C771">
        <v>6.7894299252138239</v>
      </c>
      <c r="D771">
        <v>0</v>
      </c>
    </row>
    <row r="772" spans="1:4" x14ac:dyDescent="0.35">
      <c r="A772">
        <v>771</v>
      </c>
      <c r="B772">
        <v>63.876412797552753</v>
      </c>
      <c r="C772">
        <v>0</v>
      </c>
      <c r="D772">
        <v>11.123587202447247</v>
      </c>
    </row>
    <row r="773" spans="1:4" x14ac:dyDescent="0.35">
      <c r="A773">
        <v>772</v>
      </c>
      <c r="B773">
        <v>77.724911049978786</v>
      </c>
      <c r="C773">
        <v>2.7249110499787861</v>
      </c>
      <c r="D773">
        <v>0</v>
      </c>
    </row>
    <row r="774" spans="1:4" x14ac:dyDescent="0.35">
      <c r="A774">
        <v>773</v>
      </c>
      <c r="B774">
        <v>85.302480106482463</v>
      </c>
      <c r="C774">
        <v>10.302480106482463</v>
      </c>
      <c r="D774">
        <v>0</v>
      </c>
    </row>
    <row r="775" spans="1:4" x14ac:dyDescent="0.35">
      <c r="A775">
        <v>774</v>
      </c>
      <c r="B775">
        <v>63.841953147079202</v>
      </c>
      <c r="C775">
        <v>0</v>
      </c>
      <c r="D775">
        <v>11.158046852920798</v>
      </c>
    </row>
    <row r="776" spans="1:4" x14ac:dyDescent="0.35">
      <c r="A776">
        <v>775</v>
      </c>
      <c r="B776">
        <v>95.800879421701978</v>
      </c>
      <c r="C776">
        <v>20.800879421701978</v>
      </c>
      <c r="D776">
        <v>0</v>
      </c>
    </row>
    <row r="777" spans="1:4" x14ac:dyDescent="0.35">
      <c r="A777">
        <v>776</v>
      </c>
      <c r="B777">
        <v>92.110659046336849</v>
      </c>
      <c r="C777">
        <v>17.110659046336849</v>
      </c>
      <c r="D777">
        <v>0</v>
      </c>
    </row>
    <row r="778" spans="1:4" x14ac:dyDescent="0.35">
      <c r="A778">
        <v>777</v>
      </c>
      <c r="B778">
        <v>83.593717417411213</v>
      </c>
      <c r="C778">
        <v>8.593717417411213</v>
      </c>
      <c r="D778">
        <v>0</v>
      </c>
    </row>
    <row r="779" spans="1:4" x14ac:dyDescent="0.35">
      <c r="A779">
        <v>778</v>
      </c>
      <c r="B779">
        <v>71.836900876059985</v>
      </c>
      <c r="C779">
        <v>0</v>
      </c>
      <c r="D779">
        <v>3.1630991239400146</v>
      </c>
    </row>
    <row r="780" spans="1:4" x14ac:dyDescent="0.35">
      <c r="A780">
        <v>779</v>
      </c>
      <c r="B780">
        <v>75.262964920247953</v>
      </c>
      <c r="C780">
        <v>0.2629649202479527</v>
      </c>
      <c r="D780">
        <v>0</v>
      </c>
    </row>
    <row r="781" spans="1:4" x14ac:dyDescent="0.35">
      <c r="A781">
        <v>780</v>
      </c>
      <c r="B781">
        <v>70.176131815916847</v>
      </c>
      <c r="C781">
        <v>0</v>
      </c>
      <c r="D781">
        <v>4.8238681840831532</v>
      </c>
    </row>
    <row r="782" spans="1:4" x14ac:dyDescent="0.35">
      <c r="A782">
        <v>781</v>
      </c>
      <c r="B782">
        <v>61.818145405324913</v>
      </c>
      <c r="C782">
        <v>0</v>
      </c>
      <c r="D782">
        <v>13.181854594675087</v>
      </c>
    </row>
    <row r="783" spans="1:4" x14ac:dyDescent="0.35">
      <c r="A783">
        <v>782</v>
      </c>
      <c r="B783">
        <v>75.038839543267272</v>
      </c>
      <c r="C783">
        <v>3.8839543267272347E-2</v>
      </c>
      <c r="D783">
        <v>0</v>
      </c>
    </row>
    <row r="784" spans="1:4" x14ac:dyDescent="0.35">
      <c r="A784">
        <v>783</v>
      </c>
      <c r="B784">
        <v>74.193368539340327</v>
      </c>
      <c r="C784">
        <v>0</v>
      </c>
      <c r="D784">
        <v>0.80663146065967339</v>
      </c>
    </row>
    <row r="785" spans="1:4" x14ac:dyDescent="0.35">
      <c r="A785">
        <v>784</v>
      </c>
      <c r="B785">
        <v>82.665496378082025</v>
      </c>
      <c r="C785">
        <v>7.6654963780820253</v>
      </c>
      <c r="D785">
        <v>0</v>
      </c>
    </row>
    <row r="786" spans="1:4" x14ac:dyDescent="0.35">
      <c r="A786">
        <v>785</v>
      </c>
      <c r="B786">
        <v>67.935672272771981</v>
      </c>
      <c r="C786">
        <v>0</v>
      </c>
      <c r="D786">
        <v>7.0643277272280187</v>
      </c>
    </row>
    <row r="787" spans="1:4" x14ac:dyDescent="0.35">
      <c r="A787">
        <v>786</v>
      </c>
      <c r="B787">
        <v>56.752977425083088</v>
      </c>
      <c r="C787">
        <v>0</v>
      </c>
      <c r="D787">
        <v>18.247022574916912</v>
      </c>
    </row>
    <row r="788" spans="1:4" x14ac:dyDescent="0.35">
      <c r="A788">
        <v>787</v>
      </c>
      <c r="B788">
        <v>71.40682309957424</v>
      </c>
      <c r="C788">
        <v>0</v>
      </c>
      <c r="D788">
        <v>3.5931769004257603</v>
      </c>
    </row>
    <row r="789" spans="1:4" x14ac:dyDescent="0.35">
      <c r="A789">
        <v>788</v>
      </c>
      <c r="B789">
        <v>56.863262040904658</v>
      </c>
      <c r="C789">
        <v>0</v>
      </c>
      <c r="D789">
        <v>18.136737959095342</v>
      </c>
    </row>
    <row r="790" spans="1:4" x14ac:dyDescent="0.35">
      <c r="A790">
        <v>789</v>
      </c>
      <c r="B790">
        <v>68.130245489341121</v>
      </c>
      <c r="C790">
        <v>0</v>
      </c>
      <c r="D790">
        <v>6.8697545106588791</v>
      </c>
    </row>
    <row r="791" spans="1:4" x14ac:dyDescent="0.35">
      <c r="A791">
        <v>790</v>
      </c>
      <c r="B791">
        <v>70.040477575116938</v>
      </c>
      <c r="C791">
        <v>0</v>
      </c>
      <c r="D791">
        <v>4.9595224248830618</v>
      </c>
    </row>
    <row r="792" spans="1:4" x14ac:dyDescent="0.35">
      <c r="A792">
        <v>791</v>
      </c>
      <c r="B792">
        <v>66.13064509351824</v>
      </c>
      <c r="C792">
        <v>0</v>
      </c>
      <c r="D792">
        <v>8.8693549064817603</v>
      </c>
    </row>
    <row r="793" spans="1:4" x14ac:dyDescent="0.35">
      <c r="A793">
        <v>792</v>
      </c>
      <c r="B793">
        <v>92.576734664744237</v>
      </c>
      <c r="C793">
        <v>17.576734664744237</v>
      </c>
      <c r="D793">
        <v>0</v>
      </c>
    </row>
    <row r="794" spans="1:4" x14ac:dyDescent="0.35">
      <c r="A794">
        <v>793</v>
      </c>
      <c r="B794">
        <v>52.045129969249452</v>
      </c>
      <c r="C794">
        <v>0</v>
      </c>
      <c r="D794">
        <v>22.954870030750548</v>
      </c>
    </row>
    <row r="795" spans="1:4" x14ac:dyDescent="0.35">
      <c r="A795">
        <v>794</v>
      </c>
      <c r="B795">
        <v>75.236888065094149</v>
      </c>
      <c r="C795">
        <v>0.23688806509414917</v>
      </c>
      <c r="D795">
        <v>0</v>
      </c>
    </row>
    <row r="796" spans="1:4" x14ac:dyDescent="0.35">
      <c r="A796">
        <v>795</v>
      </c>
      <c r="B796">
        <v>74.230466922773402</v>
      </c>
      <c r="C796">
        <v>0</v>
      </c>
      <c r="D796">
        <v>0.76953307722659758</v>
      </c>
    </row>
    <row r="797" spans="1:4" x14ac:dyDescent="0.35">
      <c r="A797">
        <v>796</v>
      </c>
      <c r="B797">
        <v>72.102918377180458</v>
      </c>
      <c r="C797">
        <v>0</v>
      </c>
      <c r="D797">
        <v>2.8970816228195417</v>
      </c>
    </row>
    <row r="798" spans="1:4" x14ac:dyDescent="0.35">
      <c r="A798">
        <v>797</v>
      </c>
      <c r="B798">
        <v>54.601875163743955</v>
      </c>
      <c r="C798">
        <v>0</v>
      </c>
      <c r="D798">
        <v>20.398124836256045</v>
      </c>
    </row>
    <row r="799" spans="1:4" x14ac:dyDescent="0.35">
      <c r="A799">
        <v>798</v>
      </c>
      <c r="B799">
        <v>77.259382386379514</v>
      </c>
      <c r="C799">
        <v>2.2593823863795137</v>
      </c>
      <c r="D799">
        <v>0</v>
      </c>
    </row>
    <row r="800" spans="1:4" x14ac:dyDescent="0.35">
      <c r="A800">
        <v>799</v>
      </c>
      <c r="B800">
        <v>66.558246640559815</v>
      </c>
      <c r="C800">
        <v>0</v>
      </c>
      <c r="D800">
        <v>8.4417533594401846</v>
      </c>
    </row>
    <row r="801" spans="1:4" x14ac:dyDescent="0.35">
      <c r="A801">
        <v>800</v>
      </c>
      <c r="B801">
        <v>95.537192807910358</v>
      </c>
      <c r="C801">
        <v>20.537192807910358</v>
      </c>
      <c r="D801">
        <v>0</v>
      </c>
    </row>
    <row r="802" spans="1:4" x14ac:dyDescent="0.35">
      <c r="A802">
        <v>801</v>
      </c>
      <c r="B802">
        <v>65.943225159019136</v>
      </c>
      <c r="C802">
        <v>0</v>
      </c>
      <c r="D802">
        <v>9.0567748409808644</v>
      </c>
    </row>
    <row r="803" spans="1:4" x14ac:dyDescent="0.35">
      <c r="A803">
        <v>802</v>
      </c>
      <c r="B803">
        <v>67.872622645008988</v>
      </c>
      <c r="C803">
        <v>0</v>
      </c>
      <c r="D803">
        <v>7.1273773549910118</v>
      </c>
    </row>
    <row r="804" spans="1:4" x14ac:dyDescent="0.35">
      <c r="A804">
        <v>803</v>
      </c>
      <c r="B804">
        <v>66.760444159452547</v>
      </c>
      <c r="C804">
        <v>0</v>
      </c>
      <c r="D804">
        <v>8.2395558405474532</v>
      </c>
    </row>
    <row r="805" spans="1:4" x14ac:dyDescent="0.35">
      <c r="A805">
        <v>804</v>
      </c>
      <c r="B805">
        <v>67.596560980811645</v>
      </c>
      <c r="C805">
        <v>0</v>
      </c>
      <c r="D805">
        <v>7.4034390191883546</v>
      </c>
    </row>
    <row r="806" spans="1:4" x14ac:dyDescent="0.35">
      <c r="A806">
        <v>805</v>
      </c>
      <c r="B806">
        <v>64.381211025857297</v>
      </c>
      <c r="C806">
        <v>0</v>
      </c>
      <c r="D806">
        <v>10.618788974142703</v>
      </c>
    </row>
    <row r="807" spans="1:4" x14ac:dyDescent="0.35">
      <c r="A807">
        <v>806</v>
      </c>
      <c r="B807">
        <v>73.658064781950387</v>
      </c>
      <c r="C807">
        <v>0</v>
      </c>
      <c r="D807">
        <v>1.3419352180496134</v>
      </c>
    </row>
    <row r="808" spans="1:4" x14ac:dyDescent="0.35">
      <c r="A808">
        <v>807</v>
      </c>
      <c r="B808">
        <v>76.796757923128709</v>
      </c>
      <c r="C808">
        <v>1.796757923128709</v>
      </c>
      <c r="D808">
        <v>0</v>
      </c>
    </row>
    <row r="809" spans="1:4" x14ac:dyDescent="0.35">
      <c r="A809">
        <v>808</v>
      </c>
      <c r="B809">
        <v>65.314033261814188</v>
      </c>
      <c r="C809">
        <v>0</v>
      </c>
      <c r="D809">
        <v>9.6859667381858117</v>
      </c>
    </row>
    <row r="810" spans="1:4" x14ac:dyDescent="0.35">
      <c r="A810">
        <v>809</v>
      </c>
      <c r="B810">
        <v>73.193986707962395</v>
      </c>
      <c r="C810">
        <v>0</v>
      </c>
      <c r="D810">
        <v>1.8060132920376049</v>
      </c>
    </row>
    <row r="811" spans="1:4" x14ac:dyDescent="0.35">
      <c r="A811">
        <v>810</v>
      </c>
      <c r="B811">
        <v>73.233612473604296</v>
      </c>
      <c r="C811">
        <v>0</v>
      </c>
      <c r="D811">
        <v>1.7663875263957038</v>
      </c>
    </row>
    <row r="812" spans="1:4" x14ac:dyDescent="0.35">
      <c r="A812">
        <v>811</v>
      </c>
      <c r="B812">
        <v>99.302171265775257</v>
      </c>
      <c r="C812">
        <v>24.302171265775257</v>
      </c>
      <c r="D812">
        <v>0</v>
      </c>
    </row>
    <row r="813" spans="1:4" x14ac:dyDescent="0.35">
      <c r="A813">
        <v>812</v>
      </c>
      <c r="B813">
        <v>87.862523111931964</v>
      </c>
      <c r="C813">
        <v>12.862523111931964</v>
      </c>
      <c r="D813">
        <v>0</v>
      </c>
    </row>
    <row r="814" spans="1:4" x14ac:dyDescent="0.35">
      <c r="A814">
        <v>813</v>
      </c>
      <c r="B814">
        <v>64.798638993259729</v>
      </c>
      <c r="C814">
        <v>0</v>
      </c>
      <c r="D814">
        <v>10.201361006740271</v>
      </c>
    </row>
    <row r="815" spans="1:4" x14ac:dyDescent="0.35">
      <c r="A815">
        <v>814</v>
      </c>
      <c r="B815">
        <v>80.646432407371151</v>
      </c>
      <c r="C815">
        <v>5.6464324073711509</v>
      </c>
      <c r="D815">
        <v>0</v>
      </c>
    </row>
    <row r="816" spans="1:4" x14ac:dyDescent="0.35">
      <c r="A816">
        <v>815</v>
      </c>
      <c r="B816">
        <v>79.07474826939287</v>
      </c>
      <c r="C816">
        <v>4.0747482693928703</v>
      </c>
      <c r="D816">
        <v>0</v>
      </c>
    </row>
    <row r="817" spans="1:4" x14ac:dyDescent="0.35">
      <c r="A817">
        <v>816</v>
      </c>
      <c r="B817">
        <v>68.953994747945572</v>
      </c>
      <c r="C817">
        <v>0</v>
      </c>
      <c r="D817">
        <v>6.0460052520544281</v>
      </c>
    </row>
    <row r="818" spans="1:4" x14ac:dyDescent="0.35">
      <c r="A818">
        <v>817</v>
      </c>
      <c r="B818">
        <v>74.669552251315821</v>
      </c>
      <c r="C818">
        <v>0</v>
      </c>
      <c r="D818">
        <v>0.33044774868417903</v>
      </c>
    </row>
    <row r="819" spans="1:4" x14ac:dyDescent="0.35">
      <c r="A819">
        <v>818</v>
      </c>
      <c r="B819">
        <v>71.101708093828861</v>
      </c>
      <c r="C819">
        <v>0</v>
      </c>
      <c r="D819">
        <v>3.8982919061711385</v>
      </c>
    </row>
    <row r="820" spans="1:4" x14ac:dyDescent="0.35">
      <c r="A820">
        <v>819</v>
      </c>
      <c r="B820">
        <v>71.222951675228913</v>
      </c>
      <c r="C820">
        <v>0</v>
      </c>
      <c r="D820">
        <v>3.7770483247710871</v>
      </c>
    </row>
    <row r="821" spans="1:4" x14ac:dyDescent="0.35">
      <c r="A821">
        <v>820</v>
      </c>
      <c r="B821">
        <v>60.928622716135578</v>
      </c>
      <c r="C821">
        <v>0</v>
      </c>
      <c r="D821">
        <v>14.071377283864422</v>
      </c>
    </row>
    <row r="822" spans="1:4" x14ac:dyDescent="0.35">
      <c r="A822">
        <v>821</v>
      </c>
      <c r="B822">
        <v>92.772969503094671</v>
      </c>
      <c r="C822">
        <v>17.772969503094671</v>
      </c>
      <c r="D822">
        <v>0</v>
      </c>
    </row>
    <row r="823" spans="1:4" x14ac:dyDescent="0.35">
      <c r="A823">
        <v>822</v>
      </c>
      <c r="B823">
        <v>62.556590329551142</v>
      </c>
      <c r="C823">
        <v>0</v>
      </c>
      <c r="D823">
        <v>12.443409670448858</v>
      </c>
    </row>
    <row r="824" spans="1:4" x14ac:dyDescent="0.35">
      <c r="A824">
        <v>823</v>
      </c>
      <c r="B824">
        <v>73.570303905528448</v>
      </c>
      <c r="C824">
        <v>0</v>
      </c>
      <c r="D824">
        <v>1.4296960944715522</v>
      </c>
    </row>
    <row r="825" spans="1:4" x14ac:dyDescent="0.35">
      <c r="A825">
        <v>824</v>
      </c>
      <c r="B825">
        <v>76.162002010064441</v>
      </c>
      <c r="C825">
        <v>1.162002010064441</v>
      </c>
      <c r="D825">
        <v>0</v>
      </c>
    </row>
    <row r="826" spans="1:4" x14ac:dyDescent="0.35">
      <c r="A826">
        <v>825</v>
      </c>
      <c r="B826">
        <v>59.930221919469531</v>
      </c>
      <c r="C826">
        <v>0</v>
      </c>
      <c r="D826">
        <v>15.069778080530469</v>
      </c>
    </row>
    <row r="827" spans="1:4" x14ac:dyDescent="0.35">
      <c r="A827">
        <v>826</v>
      </c>
      <c r="B827">
        <v>75.264039449418163</v>
      </c>
      <c r="C827">
        <v>0.26403944941816349</v>
      </c>
      <c r="D827">
        <v>0</v>
      </c>
    </row>
    <row r="828" spans="1:4" x14ac:dyDescent="0.35">
      <c r="A828">
        <v>827</v>
      </c>
      <c r="B828">
        <v>77.958737929152335</v>
      </c>
      <c r="C828">
        <v>2.9587379291523348</v>
      </c>
      <c r="D828">
        <v>0</v>
      </c>
    </row>
    <row r="829" spans="1:4" x14ac:dyDescent="0.35">
      <c r="A829">
        <v>828</v>
      </c>
      <c r="B829">
        <v>79.45380781277467</v>
      </c>
      <c r="C829">
        <v>4.4538078127746701</v>
      </c>
      <c r="D829">
        <v>0</v>
      </c>
    </row>
    <row r="830" spans="1:4" x14ac:dyDescent="0.35">
      <c r="A830">
        <v>829</v>
      </c>
      <c r="B830">
        <v>69.549539686681854</v>
      </c>
      <c r="C830">
        <v>0</v>
      </c>
      <c r="D830">
        <v>5.4504603133181462</v>
      </c>
    </row>
    <row r="831" spans="1:4" x14ac:dyDescent="0.35">
      <c r="A831">
        <v>830</v>
      </c>
      <c r="B831">
        <v>58.610206240127553</v>
      </c>
      <c r="C831">
        <v>0</v>
      </c>
      <c r="D831">
        <v>16.389793759872447</v>
      </c>
    </row>
    <row r="832" spans="1:4" x14ac:dyDescent="0.35">
      <c r="A832">
        <v>831</v>
      </c>
      <c r="B832">
        <v>71.252797160449674</v>
      </c>
      <c r="C832">
        <v>0</v>
      </c>
      <c r="D832">
        <v>3.7472028395503258</v>
      </c>
    </row>
    <row r="833" spans="1:4" x14ac:dyDescent="0.35">
      <c r="A833">
        <v>832</v>
      </c>
      <c r="B833">
        <v>73.175999939077769</v>
      </c>
      <c r="C833">
        <v>0</v>
      </c>
      <c r="D833">
        <v>1.8240000609222307</v>
      </c>
    </row>
    <row r="834" spans="1:4" x14ac:dyDescent="0.35">
      <c r="A834">
        <v>833</v>
      </c>
      <c r="B834">
        <v>57.218238941585163</v>
      </c>
      <c r="C834">
        <v>0</v>
      </c>
      <c r="D834">
        <v>17.781761058414837</v>
      </c>
    </row>
    <row r="835" spans="1:4" x14ac:dyDescent="0.35">
      <c r="A835">
        <v>834</v>
      </c>
      <c r="B835">
        <v>69.072716479094638</v>
      </c>
      <c r="C835">
        <v>0</v>
      </c>
      <c r="D835">
        <v>5.9272835209053625</v>
      </c>
    </row>
    <row r="836" spans="1:4" x14ac:dyDescent="0.35">
      <c r="A836">
        <v>835</v>
      </c>
      <c r="B836">
        <v>60.312026370064991</v>
      </c>
      <c r="C836">
        <v>0</v>
      </c>
      <c r="D836">
        <v>14.687973629935009</v>
      </c>
    </row>
    <row r="837" spans="1:4" x14ac:dyDescent="0.35">
      <c r="A837">
        <v>836</v>
      </c>
      <c r="B837">
        <v>61.428386105745126</v>
      </c>
      <c r="C837">
        <v>0</v>
      </c>
      <c r="D837">
        <v>13.571613894254874</v>
      </c>
    </row>
    <row r="838" spans="1:4" x14ac:dyDescent="0.35">
      <c r="A838">
        <v>837</v>
      </c>
      <c r="B838">
        <v>66.572698320259477</v>
      </c>
      <c r="C838">
        <v>0</v>
      </c>
      <c r="D838">
        <v>8.4273016797405234</v>
      </c>
    </row>
    <row r="839" spans="1:4" x14ac:dyDescent="0.35">
      <c r="A839">
        <v>838</v>
      </c>
      <c r="B839">
        <v>99.300063999348254</v>
      </c>
      <c r="C839">
        <v>24.300063999348254</v>
      </c>
      <c r="D839">
        <v>0</v>
      </c>
    </row>
    <row r="840" spans="1:4" x14ac:dyDescent="0.35">
      <c r="A840">
        <v>839</v>
      </c>
      <c r="B840">
        <v>73.966878446402404</v>
      </c>
      <c r="C840">
        <v>0</v>
      </c>
      <c r="D840">
        <v>1.0331215535975957</v>
      </c>
    </row>
    <row r="841" spans="1:4" x14ac:dyDescent="0.35">
      <c r="A841">
        <v>840</v>
      </c>
      <c r="B841">
        <v>65.502821136592914</v>
      </c>
      <c r="C841">
        <v>0</v>
      </c>
      <c r="D841">
        <v>9.4971788634070862</v>
      </c>
    </row>
    <row r="842" spans="1:4" x14ac:dyDescent="0.35">
      <c r="A842">
        <v>841</v>
      </c>
      <c r="B842">
        <v>69.169176136163287</v>
      </c>
      <c r="C842">
        <v>0</v>
      </c>
      <c r="D842">
        <v>5.8308238638367129</v>
      </c>
    </row>
    <row r="843" spans="1:4" x14ac:dyDescent="0.35">
      <c r="A843">
        <v>842</v>
      </c>
      <c r="B843">
        <v>70.508788869312525</v>
      </c>
      <c r="C843">
        <v>0</v>
      </c>
      <c r="D843">
        <v>4.4912111306874749</v>
      </c>
    </row>
    <row r="844" spans="1:4" x14ac:dyDescent="0.35">
      <c r="A844">
        <v>843</v>
      </c>
      <c r="B844">
        <v>57.453426694495356</v>
      </c>
      <c r="C844">
        <v>0</v>
      </c>
      <c r="D844">
        <v>17.546573305504644</v>
      </c>
    </row>
    <row r="845" spans="1:4" x14ac:dyDescent="0.35">
      <c r="A845">
        <v>844</v>
      </c>
      <c r="B845">
        <v>70.211992682266427</v>
      </c>
      <c r="C845">
        <v>0</v>
      </c>
      <c r="D845">
        <v>4.7880073177335731</v>
      </c>
    </row>
    <row r="846" spans="1:4" x14ac:dyDescent="0.35">
      <c r="A846">
        <v>845</v>
      </c>
      <c r="B846">
        <v>69.695344687075291</v>
      </c>
      <c r="C846">
        <v>0</v>
      </c>
      <c r="D846">
        <v>5.3046553129247087</v>
      </c>
    </row>
    <row r="847" spans="1:4" x14ac:dyDescent="0.35">
      <c r="A847">
        <v>846</v>
      </c>
      <c r="B847">
        <v>89.26690767765956</v>
      </c>
      <c r="C847">
        <v>14.26690767765956</v>
      </c>
      <c r="D847">
        <v>0</v>
      </c>
    </row>
    <row r="848" spans="1:4" x14ac:dyDescent="0.35">
      <c r="A848">
        <v>847</v>
      </c>
      <c r="B848">
        <v>65.449684735051079</v>
      </c>
      <c r="C848">
        <v>0</v>
      </c>
      <c r="D848">
        <v>9.5503152649489209</v>
      </c>
    </row>
    <row r="849" spans="1:4" x14ac:dyDescent="0.35">
      <c r="A849">
        <v>848</v>
      </c>
      <c r="B849">
        <v>62.418898533060421</v>
      </c>
      <c r="C849">
        <v>0</v>
      </c>
      <c r="D849">
        <v>12.581101466939579</v>
      </c>
    </row>
    <row r="850" spans="1:4" x14ac:dyDescent="0.35">
      <c r="A850">
        <v>849</v>
      </c>
      <c r="B850">
        <v>71.413820699944083</v>
      </c>
      <c r="C850">
        <v>0</v>
      </c>
      <c r="D850">
        <v>3.5861793000559175</v>
      </c>
    </row>
    <row r="851" spans="1:4" x14ac:dyDescent="0.35">
      <c r="A851">
        <v>850</v>
      </c>
      <c r="B851">
        <v>67.332237373722862</v>
      </c>
      <c r="C851">
        <v>0</v>
      </c>
      <c r="D851">
        <v>7.6677626262771383</v>
      </c>
    </row>
    <row r="852" spans="1:4" x14ac:dyDescent="0.35">
      <c r="A852">
        <v>851</v>
      </c>
      <c r="B852">
        <v>71.586923777273469</v>
      </c>
      <c r="C852">
        <v>0</v>
      </c>
      <c r="D852">
        <v>3.4130762227265308</v>
      </c>
    </row>
    <row r="853" spans="1:4" x14ac:dyDescent="0.35">
      <c r="A853">
        <v>852</v>
      </c>
      <c r="B853">
        <v>68.673606445374091</v>
      </c>
      <c r="C853">
        <v>0</v>
      </c>
      <c r="D853">
        <v>6.3263935546259091</v>
      </c>
    </row>
    <row r="854" spans="1:4" x14ac:dyDescent="0.35">
      <c r="A854">
        <v>853</v>
      </c>
      <c r="B854">
        <v>65.068295940847719</v>
      </c>
      <c r="C854">
        <v>0</v>
      </c>
      <c r="D854">
        <v>9.9317040591522812</v>
      </c>
    </row>
    <row r="855" spans="1:4" x14ac:dyDescent="0.35">
      <c r="A855">
        <v>854</v>
      </c>
      <c r="B855">
        <v>57.716483328419166</v>
      </c>
      <c r="C855">
        <v>0</v>
      </c>
      <c r="D855">
        <v>17.283516671580834</v>
      </c>
    </row>
    <row r="856" spans="1:4" x14ac:dyDescent="0.35">
      <c r="A856">
        <v>855</v>
      </c>
      <c r="B856">
        <v>74.983902334626748</v>
      </c>
      <c r="C856">
        <v>0</v>
      </c>
      <c r="D856">
        <v>1.6097665373251857E-2</v>
      </c>
    </row>
    <row r="857" spans="1:4" x14ac:dyDescent="0.35">
      <c r="A857">
        <v>856</v>
      </c>
      <c r="B857">
        <v>67.871454630248536</v>
      </c>
      <c r="C857">
        <v>0</v>
      </c>
      <c r="D857">
        <v>7.128545369751464</v>
      </c>
    </row>
    <row r="858" spans="1:4" x14ac:dyDescent="0.35">
      <c r="A858">
        <v>857</v>
      </c>
      <c r="B858">
        <v>72.438949062724205</v>
      </c>
      <c r="C858">
        <v>0</v>
      </c>
      <c r="D858">
        <v>2.5610509372757946</v>
      </c>
    </row>
    <row r="859" spans="1:4" x14ac:dyDescent="0.35">
      <c r="A859">
        <v>858</v>
      </c>
      <c r="B859">
        <v>84.189915493713869</v>
      </c>
      <c r="C859">
        <v>9.189915493713869</v>
      </c>
      <c r="D859">
        <v>0</v>
      </c>
    </row>
    <row r="860" spans="1:4" x14ac:dyDescent="0.35">
      <c r="A860">
        <v>859</v>
      </c>
      <c r="B860">
        <v>69.337057369841176</v>
      </c>
      <c r="C860">
        <v>0</v>
      </c>
      <c r="D860">
        <v>5.6629426301588239</v>
      </c>
    </row>
    <row r="861" spans="1:4" x14ac:dyDescent="0.35">
      <c r="A861">
        <v>860</v>
      </c>
      <c r="B861">
        <v>73.702323461123058</v>
      </c>
      <c r="C861">
        <v>0</v>
      </c>
      <c r="D861">
        <v>1.2976765388769422</v>
      </c>
    </row>
    <row r="862" spans="1:4" x14ac:dyDescent="0.35">
      <c r="A862">
        <v>861</v>
      </c>
      <c r="B862">
        <v>68.27816994878107</v>
      </c>
      <c r="C862">
        <v>0</v>
      </c>
      <c r="D862">
        <v>6.7218300512189302</v>
      </c>
    </row>
    <row r="863" spans="1:4" x14ac:dyDescent="0.35">
      <c r="A863">
        <v>862</v>
      </c>
      <c r="B863">
        <v>57.048958958567511</v>
      </c>
      <c r="C863">
        <v>0</v>
      </c>
      <c r="D863">
        <v>17.951041041432489</v>
      </c>
    </row>
    <row r="864" spans="1:4" x14ac:dyDescent="0.35">
      <c r="A864">
        <v>863</v>
      </c>
      <c r="B864">
        <v>59.924566232969518</v>
      </c>
      <c r="C864">
        <v>0</v>
      </c>
      <c r="D864">
        <v>15.075433767030482</v>
      </c>
    </row>
    <row r="865" spans="1:4" x14ac:dyDescent="0.35">
      <c r="A865">
        <v>864</v>
      </c>
      <c r="B865">
        <v>61.421670051050846</v>
      </c>
      <c r="C865">
        <v>0</v>
      </c>
      <c r="D865">
        <v>13.578329948949154</v>
      </c>
    </row>
    <row r="866" spans="1:4" x14ac:dyDescent="0.35">
      <c r="A866">
        <v>865</v>
      </c>
      <c r="B866">
        <v>61.387708114936004</v>
      </c>
      <c r="C866">
        <v>0</v>
      </c>
      <c r="D866">
        <v>13.612291885063996</v>
      </c>
    </row>
    <row r="867" spans="1:4" x14ac:dyDescent="0.35">
      <c r="A867">
        <v>866</v>
      </c>
      <c r="B867">
        <v>78.722053278149545</v>
      </c>
      <c r="C867">
        <v>3.722053278149545</v>
      </c>
      <c r="D867">
        <v>0</v>
      </c>
    </row>
    <row r="868" spans="1:4" x14ac:dyDescent="0.35">
      <c r="A868">
        <v>867</v>
      </c>
      <c r="B868">
        <v>65.215033022968569</v>
      </c>
      <c r="C868">
        <v>0</v>
      </c>
      <c r="D868">
        <v>9.7849669770314307</v>
      </c>
    </row>
    <row r="869" spans="1:4" x14ac:dyDescent="0.35">
      <c r="A869">
        <v>868</v>
      </c>
      <c r="B869">
        <v>61.139714343556193</v>
      </c>
      <c r="C869">
        <v>0</v>
      </c>
      <c r="D869">
        <v>13.860285656443807</v>
      </c>
    </row>
    <row r="870" spans="1:4" x14ac:dyDescent="0.35">
      <c r="A870">
        <v>869</v>
      </c>
      <c r="B870">
        <v>55.880188828812834</v>
      </c>
      <c r="C870">
        <v>0</v>
      </c>
      <c r="D870">
        <v>19.119811171187166</v>
      </c>
    </row>
    <row r="871" spans="1:4" x14ac:dyDescent="0.35">
      <c r="A871">
        <v>870</v>
      </c>
      <c r="B871">
        <v>76.496189858108437</v>
      </c>
      <c r="C871">
        <v>1.496189858108437</v>
      </c>
      <c r="D871">
        <v>0</v>
      </c>
    </row>
    <row r="872" spans="1:4" x14ac:dyDescent="0.35">
      <c r="A872">
        <v>871</v>
      </c>
      <c r="B872">
        <v>82.194934725622971</v>
      </c>
      <c r="C872">
        <v>7.1949347256229714</v>
      </c>
      <c r="D872">
        <v>0</v>
      </c>
    </row>
    <row r="873" spans="1:4" x14ac:dyDescent="0.35">
      <c r="A873">
        <v>872</v>
      </c>
      <c r="B873">
        <v>71.698502236802199</v>
      </c>
      <c r="C873">
        <v>0</v>
      </c>
      <c r="D873">
        <v>3.3014977631978013</v>
      </c>
    </row>
    <row r="874" spans="1:4" x14ac:dyDescent="0.35">
      <c r="A874">
        <v>873</v>
      </c>
      <c r="B874">
        <v>80.251605552945819</v>
      </c>
      <c r="C874">
        <v>5.2516055529458185</v>
      </c>
      <c r="D874">
        <v>0</v>
      </c>
    </row>
    <row r="875" spans="1:4" x14ac:dyDescent="0.35">
      <c r="A875">
        <v>874</v>
      </c>
      <c r="B875">
        <v>96.244196099821323</v>
      </c>
      <c r="C875">
        <v>21.244196099821323</v>
      </c>
      <c r="D875">
        <v>0</v>
      </c>
    </row>
    <row r="876" spans="1:4" x14ac:dyDescent="0.35">
      <c r="A876">
        <v>875</v>
      </c>
      <c r="B876">
        <v>71.882529153486715</v>
      </c>
      <c r="C876">
        <v>0</v>
      </c>
      <c r="D876">
        <v>3.1174708465132852</v>
      </c>
    </row>
    <row r="877" spans="1:4" x14ac:dyDescent="0.35">
      <c r="A877">
        <v>876</v>
      </c>
      <c r="B877">
        <v>57.763670627073424</v>
      </c>
      <c r="C877">
        <v>0</v>
      </c>
      <c r="D877">
        <v>17.236329372926576</v>
      </c>
    </row>
    <row r="878" spans="1:4" x14ac:dyDescent="0.35">
      <c r="A878">
        <v>877</v>
      </c>
      <c r="B878">
        <v>74.534239231110007</v>
      </c>
      <c r="C878">
        <v>0</v>
      </c>
      <c r="D878">
        <v>0.46576076888999296</v>
      </c>
    </row>
    <row r="879" spans="1:4" x14ac:dyDescent="0.35">
      <c r="A879">
        <v>878</v>
      </c>
      <c r="B879">
        <v>66.960152886967947</v>
      </c>
      <c r="C879">
        <v>0</v>
      </c>
      <c r="D879">
        <v>8.039847113032053</v>
      </c>
    </row>
    <row r="880" spans="1:4" x14ac:dyDescent="0.35">
      <c r="A880">
        <v>879</v>
      </c>
      <c r="B880">
        <v>65.597958843044808</v>
      </c>
      <c r="C880">
        <v>0</v>
      </c>
      <c r="D880">
        <v>9.4020411569551925</v>
      </c>
    </row>
    <row r="881" spans="1:4" x14ac:dyDescent="0.35">
      <c r="A881">
        <v>880</v>
      </c>
      <c r="B881">
        <v>76.201265039084902</v>
      </c>
      <c r="C881">
        <v>1.2012650390849018</v>
      </c>
      <c r="D881">
        <v>0</v>
      </c>
    </row>
    <row r="882" spans="1:4" x14ac:dyDescent="0.35">
      <c r="A882">
        <v>881</v>
      </c>
      <c r="B882">
        <v>68.812309019219924</v>
      </c>
      <c r="C882">
        <v>0</v>
      </c>
      <c r="D882">
        <v>6.1876909807800757</v>
      </c>
    </row>
    <row r="883" spans="1:4" x14ac:dyDescent="0.35">
      <c r="A883">
        <v>882</v>
      </c>
      <c r="B883">
        <v>68.368548531512275</v>
      </c>
      <c r="C883">
        <v>0</v>
      </c>
      <c r="D883">
        <v>6.6314514684877253</v>
      </c>
    </row>
    <row r="884" spans="1:4" x14ac:dyDescent="0.35">
      <c r="A884">
        <v>883</v>
      </c>
      <c r="B884">
        <v>63.460579119900281</v>
      </c>
      <c r="C884">
        <v>0</v>
      </c>
      <c r="D884">
        <v>11.539420880099719</v>
      </c>
    </row>
    <row r="885" spans="1:4" x14ac:dyDescent="0.35">
      <c r="A885">
        <v>884</v>
      </c>
      <c r="B885">
        <v>83.853492651296264</v>
      </c>
      <c r="C885">
        <v>8.8534926512962642</v>
      </c>
      <c r="D885">
        <v>0</v>
      </c>
    </row>
    <row r="886" spans="1:4" x14ac:dyDescent="0.35">
      <c r="A886">
        <v>885</v>
      </c>
      <c r="B886">
        <v>61.623988178858525</v>
      </c>
      <c r="C886">
        <v>0</v>
      </c>
      <c r="D886">
        <v>13.376011821141475</v>
      </c>
    </row>
    <row r="887" spans="1:4" x14ac:dyDescent="0.35">
      <c r="A887">
        <v>886</v>
      </c>
      <c r="B887">
        <v>68.801926794276184</v>
      </c>
      <c r="C887">
        <v>0</v>
      </c>
      <c r="D887">
        <v>6.1980732057238157</v>
      </c>
    </row>
    <row r="888" spans="1:4" x14ac:dyDescent="0.35">
      <c r="A888">
        <v>887</v>
      </c>
      <c r="B888">
        <v>74.092460596849691</v>
      </c>
      <c r="C888">
        <v>0</v>
      </c>
      <c r="D888">
        <v>0.90753940315030945</v>
      </c>
    </row>
    <row r="889" spans="1:4" x14ac:dyDescent="0.35">
      <c r="A889">
        <v>888</v>
      </c>
      <c r="B889">
        <v>72.511631073720437</v>
      </c>
      <c r="C889">
        <v>0</v>
      </c>
      <c r="D889">
        <v>2.4883689262795627</v>
      </c>
    </row>
    <row r="890" spans="1:4" x14ac:dyDescent="0.35">
      <c r="A890">
        <v>889</v>
      </c>
      <c r="B890">
        <v>77.669222063416299</v>
      </c>
      <c r="C890">
        <v>2.6692220634162993</v>
      </c>
      <c r="D890">
        <v>0</v>
      </c>
    </row>
    <row r="891" spans="1:4" x14ac:dyDescent="0.35">
      <c r="A891">
        <v>890</v>
      </c>
      <c r="B891">
        <v>60.526900248062248</v>
      </c>
      <c r="C891">
        <v>0</v>
      </c>
      <c r="D891">
        <v>14.473099751937752</v>
      </c>
    </row>
    <row r="892" spans="1:4" x14ac:dyDescent="0.35">
      <c r="A892">
        <v>891</v>
      </c>
      <c r="B892">
        <v>66.845615269399829</v>
      </c>
      <c r="C892">
        <v>0</v>
      </c>
      <c r="D892">
        <v>8.1543847306001709</v>
      </c>
    </row>
    <row r="893" spans="1:4" x14ac:dyDescent="0.35">
      <c r="A893">
        <v>892</v>
      </c>
      <c r="B893">
        <v>50.687440047682699</v>
      </c>
      <c r="C893">
        <v>0</v>
      </c>
      <c r="D893">
        <v>24.312559952317301</v>
      </c>
    </row>
    <row r="894" spans="1:4" x14ac:dyDescent="0.35">
      <c r="A894">
        <v>893</v>
      </c>
      <c r="B894">
        <v>79.58204921882421</v>
      </c>
      <c r="C894">
        <v>4.5820492188242099</v>
      </c>
      <c r="D894">
        <v>0</v>
      </c>
    </row>
    <row r="895" spans="1:4" x14ac:dyDescent="0.35">
      <c r="A895">
        <v>894</v>
      </c>
      <c r="B895">
        <v>86.995977975412671</v>
      </c>
      <c r="C895">
        <v>11.995977975412671</v>
      </c>
      <c r="D895">
        <v>0</v>
      </c>
    </row>
    <row r="896" spans="1:4" x14ac:dyDescent="0.35">
      <c r="A896">
        <v>895</v>
      </c>
      <c r="B896">
        <v>66.170925994960257</v>
      </c>
      <c r="C896">
        <v>0</v>
      </c>
      <c r="D896">
        <v>8.8290740050397432</v>
      </c>
    </row>
    <row r="897" spans="1:4" x14ac:dyDescent="0.35">
      <c r="A897">
        <v>896</v>
      </c>
      <c r="B897">
        <v>64.09675257412259</v>
      </c>
      <c r="C897">
        <v>0</v>
      </c>
      <c r="D897">
        <v>10.90324742587741</v>
      </c>
    </row>
    <row r="898" spans="1:4" x14ac:dyDescent="0.35">
      <c r="A898">
        <v>897</v>
      </c>
      <c r="B898">
        <v>90.242671685329299</v>
      </c>
      <c r="C898">
        <v>15.242671685329299</v>
      </c>
      <c r="D898">
        <v>0</v>
      </c>
    </row>
    <row r="899" spans="1:4" x14ac:dyDescent="0.35">
      <c r="A899">
        <v>898</v>
      </c>
      <c r="B899">
        <v>62.939580157576714</v>
      </c>
      <c r="C899">
        <v>0</v>
      </c>
      <c r="D899">
        <v>12.060419842423286</v>
      </c>
    </row>
    <row r="900" spans="1:4" x14ac:dyDescent="0.35">
      <c r="A900">
        <v>899</v>
      </c>
      <c r="B900">
        <v>69.18982263248752</v>
      </c>
      <c r="C900">
        <v>0</v>
      </c>
      <c r="D900">
        <v>5.8101773675124804</v>
      </c>
    </row>
    <row r="901" spans="1:4" x14ac:dyDescent="0.35">
      <c r="A901">
        <v>900</v>
      </c>
      <c r="B901">
        <v>67.818483758312041</v>
      </c>
      <c r="C901">
        <v>0</v>
      </c>
      <c r="D901">
        <v>7.1815162416879588</v>
      </c>
    </row>
    <row r="902" spans="1:4" x14ac:dyDescent="0.35">
      <c r="A902">
        <v>901</v>
      </c>
      <c r="B902">
        <v>66.841237678061191</v>
      </c>
      <c r="C902">
        <v>0</v>
      </c>
      <c r="D902">
        <v>8.1587623219388092</v>
      </c>
    </row>
    <row r="903" spans="1:4" x14ac:dyDescent="0.35">
      <c r="A903">
        <v>902</v>
      </c>
      <c r="B903">
        <v>95.074261273583218</v>
      </c>
      <c r="C903">
        <v>20.074261273583218</v>
      </c>
      <c r="D903">
        <v>0</v>
      </c>
    </row>
    <row r="904" spans="1:4" x14ac:dyDescent="0.35">
      <c r="A904">
        <v>903</v>
      </c>
      <c r="B904">
        <v>73.291391122636412</v>
      </c>
      <c r="C904">
        <v>0</v>
      </c>
      <c r="D904">
        <v>1.7086088773635879</v>
      </c>
    </row>
    <row r="905" spans="1:4" x14ac:dyDescent="0.35">
      <c r="A905">
        <v>904</v>
      </c>
      <c r="B905">
        <v>71.933080038695593</v>
      </c>
      <c r="C905">
        <v>0</v>
      </c>
      <c r="D905">
        <v>3.0669199613044071</v>
      </c>
    </row>
    <row r="906" spans="1:4" x14ac:dyDescent="0.35">
      <c r="A906">
        <v>905</v>
      </c>
      <c r="B906">
        <v>60.96598250669107</v>
      </c>
      <c r="C906">
        <v>0</v>
      </c>
      <c r="D906">
        <v>14.03401749330893</v>
      </c>
    </row>
    <row r="907" spans="1:4" x14ac:dyDescent="0.35">
      <c r="A907">
        <v>906</v>
      </c>
      <c r="B907">
        <v>85.272985025342592</v>
      </c>
      <c r="C907">
        <v>10.272985025342592</v>
      </c>
      <c r="D907">
        <v>0</v>
      </c>
    </row>
    <row r="908" spans="1:4" x14ac:dyDescent="0.35">
      <c r="A908">
        <v>907</v>
      </c>
      <c r="B908">
        <v>54.798846669685787</v>
      </c>
      <c r="C908">
        <v>0</v>
      </c>
      <c r="D908">
        <v>20.201153330314213</v>
      </c>
    </row>
    <row r="909" spans="1:4" x14ac:dyDescent="0.35">
      <c r="A909">
        <v>908</v>
      </c>
      <c r="B909">
        <v>79.93638003591839</v>
      </c>
      <c r="C909">
        <v>4.9363800359183898</v>
      </c>
      <c r="D909">
        <v>0</v>
      </c>
    </row>
    <row r="910" spans="1:4" x14ac:dyDescent="0.35">
      <c r="A910">
        <v>909</v>
      </c>
      <c r="B910">
        <v>77.334255450079269</v>
      </c>
      <c r="C910">
        <v>2.3342554500792687</v>
      </c>
      <c r="D910">
        <v>0</v>
      </c>
    </row>
    <row r="911" spans="1:4" x14ac:dyDescent="0.35">
      <c r="A911">
        <v>910</v>
      </c>
      <c r="B911">
        <v>64.630378422000604</v>
      </c>
      <c r="C911">
        <v>0</v>
      </c>
      <c r="D911">
        <v>10.369621577999396</v>
      </c>
    </row>
    <row r="912" spans="1:4" x14ac:dyDescent="0.35">
      <c r="A912">
        <v>911</v>
      </c>
      <c r="B912">
        <v>88.951605104450579</v>
      </c>
      <c r="C912">
        <v>13.951605104450579</v>
      </c>
      <c r="D912">
        <v>0</v>
      </c>
    </row>
    <row r="913" spans="1:4" x14ac:dyDescent="0.35">
      <c r="A913">
        <v>912</v>
      </c>
      <c r="B913">
        <v>70.429277548167789</v>
      </c>
      <c r="C913">
        <v>0</v>
      </c>
      <c r="D913">
        <v>4.5707224518322107</v>
      </c>
    </row>
    <row r="914" spans="1:4" x14ac:dyDescent="0.35">
      <c r="A914">
        <v>913</v>
      </c>
      <c r="B914">
        <v>77.490177318664664</v>
      </c>
      <c r="C914">
        <v>2.4901773186646636</v>
      </c>
      <c r="D914">
        <v>0</v>
      </c>
    </row>
    <row r="915" spans="1:4" x14ac:dyDescent="0.35">
      <c r="A915">
        <v>914</v>
      </c>
      <c r="B915">
        <v>68.685657719276648</v>
      </c>
      <c r="C915">
        <v>0</v>
      </c>
      <c r="D915">
        <v>6.314342280723352</v>
      </c>
    </row>
    <row r="916" spans="1:4" x14ac:dyDescent="0.35">
      <c r="A916">
        <v>915</v>
      </c>
      <c r="B916">
        <v>64.273586667698083</v>
      </c>
      <c r="C916">
        <v>0</v>
      </c>
      <c r="D916">
        <v>10.726413332301917</v>
      </c>
    </row>
    <row r="917" spans="1:4" x14ac:dyDescent="0.35">
      <c r="A917">
        <v>916</v>
      </c>
      <c r="B917">
        <v>73.921883606774031</v>
      </c>
      <c r="C917">
        <v>0</v>
      </c>
      <c r="D917">
        <v>1.0781163932259687</v>
      </c>
    </row>
    <row r="918" spans="1:4" x14ac:dyDescent="0.35">
      <c r="A918">
        <v>917</v>
      </c>
      <c r="B918">
        <v>72.562685089930852</v>
      </c>
      <c r="C918">
        <v>0</v>
      </c>
      <c r="D918">
        <v>2.4373149100691478</v>
      </c>
    </row>
    <row r="919" spans="1:4" x14ac:dyDescent="0.35">
      <c r="A919">
        <v>918</v>
      </c>
      <c r="B919">
        <v>70.302430475051722</v>
      </c>
      <c r="C919">
        <v>0</v>
      </c>
      <c r="D919">
        <v>4.6975695249482783</v>
      </c>
    </row>
    <row r="920" spans="1:4" x14ac:dyDescent="0.35">
      <c r="A920">
        <v>919</v>
      </c>
      <c r="B920">
        <v>75.216110515468159</v>
      </c>
      <c r="C920">
        <v>0.21611051546815929</v>
      </c>
      <c r="D920">
        <v>0</v>
      </c>
    </row>
    <row r="921" spans="1:4" x14ac:dyDescent="0.35">
      <c r="A921">
        <v>920</v>
      </c>
      <c r="B921">
        <v>78.934549416433185</v>
      </c>
      <c r="C921">
        <v>3.9345494164331853</v>
      </c>
      <c r="D921">
        <v>0</v>
      </c>
    </row>
    <row r="922" spans="1:4" x14ac:dyDescent="0.35">
      <c r="A922">
        <v>921</v>
      </c>
      <c r="B922">
        <v>57.579254409160875</v>
      </c>
      <c r="C922">
        <v>0</v>
      </c>
      <c r="D922">
        <v>17.420745590839125</v>
      </c>
    </row>
    <row r="923" spans="1:4" x14ac:dyDescent="0.35">
      <c r="A923">
        <v>922</v>
      </c>
      <c r="B923">
        <v>61.842746919376076</v>
      </c>
      <c r="C923">
        <v>0</v>
      </c>
      <c r="D923">
        <v>13.157253080623924</v>
      </c>
    </row>
    <row r="924" spans="1:4" x14ac:dyDescent="0.35">
      <c r="A924">
        <v>923</v>
      </c>
      <c r="B924">
        <v>59.496271044147136</v>
      </c>
      <c r="C924">
        <v>0</v>
      </c>
      <c r="D924">
        <v>15.503728955852864</v>
      </c>
    </row>
    <row r="925" spans="1:4" x14ac:dyDescent="0.35">
      <c r="A925">
        <v>924</v>
      </c>
      <c r="B925">
        <v>56.614268211622971</v>
      </c>
      <c r="C925">
        <v>0</v>
      </c>
      <c r="D925">
        <v>18.385731788377029</v>
      </c>
    </row>
    <row r="926" spans="1:4" x14ac:dyDescent="0.35">
      <c r="A926">
        <v>925</v>
      </c>
      <c r="B926">
        <v>72.421835825056689</v>
      </c>
      <c r="C926">
        <v>0</v>
      </c>
      <c r="D926">
        <v>2.5781641749433106</v>
      </c>
    </row>
    <row r="927" spans="1:4" x14ac:dyDescent="0.35">
      <c r="A927">
        <v>926</v>
      </c>
      <c r="B927">
        <v>90.782531109026465</v>
      </c>
      <c r="C927">
        <v>15.782531109026465</v>
      </c>
      <c r="D927">
        <v>0</v>
      </c>
    </row>
    <row r="928" spans="1:4" x14ac:dyDescent="0.35">
      <c r="A928">
        <v>927</v>
      </c>
      <c r="B928">
        <v>64.098530139528521</v>
      </c>
      <c r="C928">
        <v>0</v>
      </c>
      <c r="D928">
        <v>10.901469860471479</v>
      </c>
    </row>
    <row r="929" spans="1:4" x14ac:dyDescent="0.35">
      <c r="A929">
        <v>928</v>
      </c>
      <c r="B929">
        <v>67.406074788280137</v>
      </c>
      <c r="C929">
        <v>0</v>
      </c>
      <c r="D929">
        <v>7.5939252117198635</v>
      </c>
    </row>
    <row r="930" spans="1:4" x14ac:dyDescent="0.35">
      <c r="A930">
        <v>929</v>
      </c>
      <c r="B930">
        <v>84.733550442178597</v>
      </c>
      <c r="C930">
        <v>9.733550442178597</v>
      </c>
      <c r="D930">
        <v>0</v>
      </c>
    </row>
    <row r="931" spans="1:4" x14ac:dyDescent="0.35">
      <c r="A931">
        <v>930</v>
      </c>
      <c r="B931">
        <v>70.774803622368353</v>
      </c>
      <c r="C931">
        <v>0</v>
      </c>
      <c r="D931">
        <v>4.2251963776316472</v>
      </c>
    </row>
    <row r="932" spans="1:4" x14ac:dyDescent="0.35">
      <c r="A932">
        <v>931</v>
      </c>
      <c r="B932">
        <v>64.273048795738944</v>
      </c>
      <c r="C932">
        <v>0</v>
      </c>
      <c r="D932">
        <v>10.726951204261056</v>
      </c>
    </row>
    <row r="933" spans="1:4" x14ac:dyDescent="0.35">
      <c r="A933">
        <v>932</v>
      </c>
      <c r="B933">
        <v>82.454986195674621</v>
      </c>
      <c r="C933">
        <v>7.4549861956746213</v>
      </c>
      <c r="D933">
        <v>0</v>
      </c>
    </row>
    <row r="934" spans="1:4" x14ac:dyDescent="0.35">
      <c r="A934">
        <v>933</v>
      </c>
      <c r="B934">
        <v>57.792110191739908</v>
      </c>
      <c r="C934">
        <v>0</v>
      </c>
      <c r="D934">
        <v>17.207889808260092</v>
      </c>
    </row>
    <row r="935" spans="1:4" x14ac:dyDescent="0.35">
      <c r="A935">
        <v>934</v>
      </c>
      <c r="B935">
        <v>60.927732804014106</v>
      </c>
      <c r="C935">
        <v>0</v>
      </c>
      <c r="D935">
        <v>14.072267195985894</v>
      </c>
    </row>
    <row r="936" spans="1:4" x14ac:dyDescent="0.35">
      <c r="A936">
        <v>935</v>
      </c>
      <c r="B936">
        <v>91.859930399058115</v>
      </c>
      <c r="C936">
        <v>16.859930399058115</v>
      </c>
      <c r="D936">
        <v>0</v>
      </c>
    </row>
    <row r="937" spans="1:4" x14ac:dyDescent="0.35">
      <c r="A937">
        <v>936</v>
      </c>
      <c r="B937">
        <v>81.694527328726281</v>
      </c>
      <c r="C937">
        <v>6.6945273287262808</v>
      </c>
      <c r="D937">
        <v>0</v>
      </c>
    </row>
    <row r="938" spans="1:4" x14ac:dyDescent="0.35">
      <c r="A938">
        <v>937</v>
      </c>
      <c r="B938">
        <v>81.22139833722828</v>
      </c>
      <c r="C938">
        <v>6.2213983372282797</v>
      </c>
      <c r="D938">
        <v>0</v>
      </c>
    </row>
    <row r="939" spans="1:4" x14ac:dyDescent="0.35">
      <c r="A939">
        <v>938</v>
      </c>
      <c r="B939">
        <v>104.43326475933139</v>
      </c>
      <c r="C939">
        <v>29.433264759331394</v>
      </c>
      <c r="D939">
        <v>0</v>
      </c>
    </row>
    <row r="940" spans="1:4" x14ac:dyDescent="0.35">
      <c r="A940">
        <v>939</v>
      </c>
      <c r="B940">
        <v>64.484002205105682</v>
      </c>
      <c r="C940">
        <v>0</v>
      </c>
      <c r="D940">
        <v>10.515997794894318</v>
      </c>
    </row>
    <row r="941" spans="1:4" x14ac:dyDescent="0.35">
      <c r="A941">
        <v>940</v>
      </c>
      <c r="B941">
        <v>75.605919226015331</v>
      </c>
      <c r="C941">
        <v>0.60591922601533099</v>
      </c>
      <c r="D941">
        <v>0</v>
      </c>
    </row>
    <row r="942" spans="1:4" x14ac:dyDescent="0.35">
      <c r="A942">
        <v>941</v>
      </c>
      <c r="B942">
        <v>74.563526201838187</v>
      </c>
      <c r="C942">
        <v>0</v>
      </c>
      <c r="D942">
        <v>0.43647379816181342</v>
      </c>
    </row>
    <row r="943" spans="1:4" x14ac:dyDescent="0.35">
      <c r="A943">
        <v>942</v>
      </c>
      <c r="B943">
        <v>93.02330673494491</v>
      </c>
      <c r="C943">
        <v>18.02330673494491</v>
      </c>
      <c r="D943">
        <v>0</v>
      </c>
    </row>
    <row r="944" spans="1:4" x14ac:dyDescent="0.35">
      <c r="A944">
        <v>943</v>
      </c>
      <c r="B944">
        <v>69.27988541385939</v>
      </c>
      <c r="C944">
        <v>0</v>
      </c>
      <c r="D944">
        <v>5.7201145861406104</v>
      </c>
    </row>
    <row r="945" spans="1:4" x14ac:dyDescent="0.35">
      <c r="A945">
        <v>944</v>
      </c>
      <c r="B945">
        <v>57.011402278185258</v>
      </c>
      <c r="C945">
        <v>0</v>
      </c>
      <c r="D945">
        <v>17.988597721814742</v>
      </c>
    </row>
    <row r="946" spans="1:4" x14ac:dyDescent="0.35">
      <c r="A946">
        <v>945</v>
      </c>
      <c r="B946">
        <v>83.988752183509632</v>
      </c>
      <c r="C946">
        <v>8.9887521835096322</v>
      </c>
      <c r="D946">
        <v>0</v>
      </c>
    </row>
    <row r="947" spans="1:4" x14ac:dyDescent="0.35">
      <c r="A947">
        <v>946</v>
      </c>
      <c r="B947">
        <v>62.041510441729336</v>
      </c>
      <c r="C947">
        <v>0</v>
      </c>
      <c r="D947">
        <v>12.958489558270664</v>
      </c>
    </row>
    <row r="948" spans="1:4" x14ac:dyDescent="0.35">
      <c r="A948">
        <v>947</v>
      </c>
      <c r="B948">
        <v>64.773638638569892</v>
      </c>
      <c r="C948">
        <v>0</v>
      </c>
      <c r="D948">
        <v>10.226361361430108</v>
      </c>
    </row>
    <row r="949" spans="1:4" x14ac:dyDescent="0.35">
      <c r="A949">
        <v>948</v>
      </c>
      <c r="B949">
        <v>74.065343316613678</v>
      </c>
      <c r="C949">
        <v>0</v>
      </c>
      <c r="D949">
        <v>0.93465668338632213</v>
      </c>
    </row>
    <row r="950" spans="1:4" x14ac:dyDescent="0.35">
      <c r="A950">
        <v>949</v>
      </c>
      <c r="B950">
        <v>67.885940503160271</v>
      </c>
      <c r="C950">
        <v>0</v>
      </c>
      <c r="D950">
        <v>7.1140594968397295</v>
      </c>
    </row>
    <row r="951" spans="1:4" x14ac:dyDescent="0.35">
      <c r="A951">
        <v>950</v>
      </c>
      <c r="B951">
        <v>71.993254779032995</v>
      </c>
      <c r="C951">
        <v>0</v>
      </c>
      <c r="D951">
        <v>3.0067452209670051</v>
      </c>
    </row>
    <row r="952" spans="1:4" x14ac:dyDescent="0.35">
      <c r="A952">
        <v>951</v>
      </c>
      <c r="B952">
        <v>86.731210710226833</v>
      </c>
      <c r="C952">
        <v>11.731210710226833</v>
      </c>
      <c r="D952">
        <v>0</v>
      </c>
    </row>
    <row r="953" spans="1:4" x14ac:dyDescent="0.35">
      <c r="A953">
        <v>952</v>
      </c>
      <c r="B953">
        <v>72.44641346838003</v>
      </c>
      <c r="C953">
        <v>0</v>
      </c>
      <c r="D953">
        <v>2.5535865316199704</v>
      </c>
    </row>
    <row r="954" spans="1:4" x14ac:dyDescent="0.35">
      <c r="A954">
        <v>953</v>
      </c>
      <c r="B954">
        <v>91.152965936716456</v>
      </c>
      <c r="C954">
        <v>16.152965936716456</v>
      </c>
      <c r="D954">
        <v>0</v>
      </c>
    </row>
    <row r="955" spans="1:4" x14ac:dyDescent="0.35">
      <c r="A955">
        <v>954</v>
      </c>
      <c r="B955">
        <v>78.883357761726856</v>
      </c>
      <c r="C955">
        <v>3.883357761726856</v>
      </c>
      <c r="D955">
        <v>0</v>
      </c>
    </row>
    <row r="956" spans="1:4" x14ac:dyDescent="0.35">
      <c r="A956">
        <v>955</v>
      </c>
      <c r="B956">
        <v>68.885798355177513</v>
      </c>
      <c r="C956">
        <v>0</v>
      </c>
      <c r="D956">
        <v>6.1142016448224865</v>
      </c>
    </row>
    <row r="957" spans="1:4" x14ac:dyDescent="0.35">
      <c r="A957">
        <v>956</v>
      </c>
      <c r="B957">
        <v>78.578179406009042</v>
      </c>
      <c r="C957">
        <v>3.5781794060090419</v>
      </c>
      <c r="D957">
        <v>0</v>
      </c>
    </row>
    <row r="958" spans="1:4" x14ac:dyDescent="0.35">
      <c r="A958">
        <v>957</v>
      </c>
      <c r="B958">
        <v>73.153049530156153</v>
      </c>
      <c r="C958">
        <v>0</v>
      </c>
      <c r="D958">
        <v>1.846950469843847</v>
      </c>
    </row>
    <row r="959" spans="1:4" x14ac:dyDescent="0.35">
      <c r="A959">
        <v>958</v>
      </c>
      <c r="B959">
        <v>69.886138191695039</v>
      </c>
      <c r="C959">
        <v>0</v>
      </c>
      <c r="D959">
        <v>5.1138618083049607</v>
      </c>
    </row>
    <row r="960" spans="1:4" x14ac:dyDescent="0.35">
      <c r="A960">
        <v>959</v>
      </c>
      <c r="B960">
        <v>56.165054915200884</v>
      </c>
      <c r="C960">
        <v>0</v>
      </c>
      <c r="D960">
        <v>18.834945084799116</v>
      </c>
    </row>
    <row r="961" spans="1:4" x14ac:dyDescent="0.35">
      <c r="A961">
        <v>960</v>
      </c>
      <c r="B961">
        <v>55.552476907544857</v>
      </c>
      <c r="C961">
        <v>0</v>
      </c>
      <c r="D961">
        <v>19.447523092455143</v>
      </c>
    </row>
    <row r="962" spans="1:4" x14ac:dyDescent="0.35">
      <c r="A962">
        <v>961</v>
      </c>
      <c r="B962">
        <v>67.831407302261155</v>
      </c>
      <c r="C962">
        <v>0</v>
      </c>
      <c r="D962">
        <v>7.1685926977388448</v>
      </c>
    </row>
    <row r="963" spans="1:4" x14ac:dyDescent="0.35">
      <c r="A963">
        <v>962</v>
      </c>
      <c r="B963">
        <v>69.161383394799486</v>
      </c>
      <c r="C963">
        <v>0</v>
      </c>
      <c r="D963">
        <v>5.8386166052005137</v>
      </c>
    </row>
    <row r="964" spans="1:4" x14ac:dyDescent="0.35">
      <c r="A964">
        <v>963</v>
      </c>
      <c r="B964">
        <v>67.888339469738298</v>
      </c>
      <c r="C964">
        <v>0</v>
      </c>
      <c r="D964">
        <v>7.1116605302617018</v>
      </c>
    </row>
    <row r="965" spans="1:4" x14ac:dyDescent="0.35">
      <c r="A965">
        <v>964</v>
      </c>
      <c r="B965">
        <v>74.701811927202371</v>
      </c>
      <c r="C965">
        <v>0</v>
      </c>
      <c r="D965">
        <v>0.29818807279762893</v>
      </c>
    </row>
    <row r="966" spans="1:4" x14ac:dyDescent="0.35">
      <c r="A966">
        <v>965</v>
      </c>
      <c r="B966">
        <v>62.628037889624608</v>
      </c>
      <c r="C966">
        <v>0</v>
      </c>
      <c r="D966">
        <v>12.371962110375392</v>
      </c>
    </row>
    <row r="967" spans="1:4" x14ac:dyDescent="0.35">
      <c r="A967">
        <v>966</v>
      </c>
      <c r="B967">
        <v>69.619368534016928</v>
      </c>
      <c r="C967">
        <v>0</v>
      </c>
      <c r="D967">
        <v>5.3806314659830718</v>
      </c>
    </row>
    <row r="968" spans="1:4" x14ac:dyDescent="0.35">
      <c r="A968">
        <v>967</v>
      </c>
      <c r="B968">
        <v>61.809158047819231</v>
      </c>
      <c r="C968">
        <v>0</v>
      </c>
      <c r="D968">
        <v>13.190841952180769</v>
      </c>
    </row>
    <row r="969" spans="1:4" x14ac:dyDescent="0.35">
      <c r="A969">
        <v>968</v>
      </c>
      <c r="B969">
        <v>92.999385440949382</v>
      </c>
      <c r="C969">
        <v>17.999385440949382</v>
      </c>
      <c r="D969">
        <v>0</v>
      </c>
    </row>
    <row r="970" spans="1:4" x14ac:dyDescent="0.35">
      <c r="A970">
        <v>969</v>
      </c>
      <c r="B970">
        <v>65.496546131246902</v>
      </c>
      <c r="C970">
        <v>0</v>
      </c>
      <c r="D970">
        <v>9.5034538687530983</v>
      </c>
    </row>
    <row r="971" spans="1:4" x14ac:dyDescent="0.35">
      <c r="A971">
        <v>970</v>
      </c>
      <c r="B971">
        <v>57.155925214928438</v>
      </c>
      <c r="C971">
        <v>0</v>
      </c>
      <c r="D971">
        <v>17.844074785071562</v>
      </c>
    </row>
    <row r="972" spans="1:4" x14ac:dyDescent="0.35">
      <c r="A972">
        <v>971</v>
      </c>
      <c r="B972">
        <v>80.426803098438242</v>
      </c>
      <c r="C972">
        <v>5.426803098438242</v>
      </c>
      <c r="D972">
        <v>0</v>
      </c>
    </row>
    <row r="973" spans="1:4" x14ac:dyDescent="0.35">
      <c r="A973">
        <v>972</v>
      </c>
      <c r="B973">
        <v>77.039989895905038</v>
      </c>
      <c r="C973">
        <v>2.0399898959050375</v>
      </c>
      <c r="D973">
        <v>0</v>
      </c>
    </row>
    <row r="974" spans="1:4" x14ac:dyDescent="0.35">
      <c r="A974">
        <v>973</v>
      </c>
      <c r="B974">
        <v>64.856910348763392</v>
      </c>
      <c r="C974">
        <v>0</v>
      </c>
      <c r="D974">
        <v>10.143089651236608</v>
      </c>
    </row>
    <row r="975" spans="1:4" x14ac:dyDescent="0.35">
      <c r="A975">
        <v>974</v>
      </c>
      <c r="B975">
        <v>79.847273803442803</v>
      </c>
      <c r="C975">
        <v>4.8472738034428033</v>
      </c>
      <c r="D975">
        <v>0</v>
      </c>
    </row>
    <row r="976" spans="1:4" x14ac:dyDescent="0.35">
      <c r="A976">
        <v>975</v>
      </c>
      <c r="B976">
        <v>83.528388880310999</v>
      </c>
      <c r="C976">
        <v>8.5283888803109988</v>
      </c>
      <c r="D976">
        <v>0</v>
      </c>
    </row>
    <row r="977" spans="1:4" x14ac:dyDescent="0.35">
      <c r="A977">
        <v>976</v>
      </c>
      <c r="B977">
        <v>96.302131033100238</v>
      </c>
      <c r="C977">
        <v>21.302131033100238</v>
      </c>
      <c r="D977">
        <v>0</v>
      </c>
    </row>
    <row r="978" spans="1:4" x14ac:dyDescent="0.35">
      <c r="A978">
        <v>977</v>
      </c>
      <c r="B978">
        <v>65.393529940907328</v>
      </c>
      <c r="C978">
        <v>0</v>
      </c>
      <c r="D978">
        <v>9.6064700590926719</v>
      </c>
    </row>
    <row r="979" spans="1:4" x14ac:dyDescent="0.35">
      <c r="A979">
        <v>978</v>
      </c>
      <c r="B979">
        <v>70.333021485921478</v>
      </c>
      <c r="C979">
        <v>0</v>
      </c>
      <c r="D979">
        <v>4.6669785140785223</v>
      </c>
    </row>
    <row r="980" spans="1:4" x14ac:dyDescent="0.35">
      <c r="A980">
        <v>979</v>
      </c>
      <c r="B980">
        <v>86.302154657757171</v>
      </c>
      <c r="C980">
        <v>11.302154657757171</v>
      </c>
      <c r="D980">
        <v>0</v>
      </c>
    </row>
    <row r="981" spans="1:4" x14ac:dyDescent="0.35">
      <c r="A981">
        <v>980</v>
      </c>
      <c r="B981">
        <v>87.119266044279343</v>
      </c>
      <c r="C981">
        <v>12.119266044279343</v>
      </c>
      <c r="D981">
        <v>0</v>
      </c>
    </row>
    <row r="982" spans="1:4" x14ac:dyDescent="0.35">
      <c r="A982">
        <v>981</v>
      </c>
      <c r="B982">
        <v>71.262023269037201</v>
      </c>
      <c r="C982">
        <v>0</v>
      </c>
      <c r="D982">
        <v>3.7379767309627994</v>
      </c>
    </row>
    <row r="983" spans="1:4" x14ac:dyDescent="0.35">
      <c r="A983">
        <v>982</v>
      </c>
      <c r="B983">
        <v>84.360923086037047</v>
      </c>
      <c r="C983">
        <v>9.3609230860370474</v>
      </c>
      <c r="D983">
        <v>0</v>
      </c>
    </row>
    <row r="984" spans="1:4" x14ac:dyDescent="0.35">
      <c r="A984">
        <v>983</v>
      </c>
      <c r="B984">
        <v>73.119036323192873</v>
      </c>
      <c r="C984">
        <v>0</v>
      </c>
      <c r="D984">
        <v>1.8809636768071272</v>
      </c>
    </row>
    <row r="985" spans="1:4" x14ac:dyDescent="0.35">
      <c r="A985">
        <v>984</v>
      </c>
      <c r="B985">
        <v>69.316413769033502</v>
      </c>
      <c r="C985">
        <v>0</v>
      </c>
      <c r="D985">
        <v>5.6835862309664975</v>
      </c>
    </row>
    <row r="986" spans="1:4" x14ac:dyDescent="0.35">
      <c r="A986">
        <v>985</v>
      </c>
      <c r="B986">
        <v>81.041653152272872</v>
      </c>
      <c r="C986">
        <v>6.0416531522728718</v>
      </c>
      <c r="D986">
        <v>0</v>
      </c>
    </row>
    <row r="987" spans="1:4" x14ac:dyDescent="0.35">
      <c r="A987">
        <v>986</v>
      </c>
      <c r="B987">
        <v>77.580044075181533</v>
      </c>
      <c r="C987">
        <v>2.580044075181533</v>
      </c>
      <c r="D987">
        <v>0</v>
      </c>
    </row>
    <row r="988" spans="1:4" x14ac:dyDescent="0.35">
      <c r="A988">
        <v>987</v>
      </c>
      <c r="B988">
        <v>85.063263894532554</v>
      </c>
      <c r="C988">
        <v>10.063263894532554</v>
      </c>
      <c r="D988">
        <v>0</v>
      </c>
    </row>
    <row r="989" spans="1:4" x14ac:dyDescent="0.35">
      <c r="A989">
        <v>988</v>
      </c>
      <c r="B989">
        <v>61.707669107180863</v>
      </c>
      <c r="C989">
        <v>0</v>
      </c>
      <c r="D989">
        <v>13.292330892819137</v>
      </c>
    </row>
    <row r="990" spans="1:4" x14ac:dyDescent="0.35">
      <c r="A990">
        <v>989</v>
      </c>
      <c r="B990">
        <v>79.227924716763169</v>
      </c>
      <c r="C990">
        <v>4.2279247167631695</v>
      </c>
      <c r="D990">
        <v>0</v>
      </c>
    </row>
    <row r="991" spans="1:4" x14ac:dyDescent="0.35">
      <c r="A991">
        <v>990</v>
      </c>
      <c r="B991">
        <v>75.717533970525409</v>
      </c>
      <c r="C991">
        <v>0.7175339705254089</v>
      </c>
      <c r="D991">
        <v>0</v>
      </c>
    </row>
    <row r="992" spans="1:4" x14ac:dyDescent="0.35">
      <c r="A992">
        <v>991</v>
      </c>
      <c r="B992">
        <v>86.391357546205114</v>
      </c>
      <c r="C992">
        <v>11.391357546205114</v>
      </c>
      <c r="D992">
        <v>0</v>
      </c>
    </row>
    <row r="993" spans="1:4" x14ac:dyDescent="0.35">
      <c r="A993">
        <v>992</v>
      </c>
      <c r="B993">
        <v>81.671630476855427</v>
      </c>
      <c r="C993">
        <v>6.6716304768554267</v>
      </c>
      <c r="D993">
        <v>0</v>
      </c>
    </row>
    <row r="994" spans="1:4" x14ac:dyDescent="0.35">
      <c r="A994">
        <v>993</v>
      </c>
      <c r="B994">
        <v>79.359764713253327</v>
      </c>
      <c r="C994">
        <v>4.3597647132533268</v>
      </c>
      <c r="D994">
        <v>0</v>
      </c>
    </row>
    <row r="995" spans="1:4" x14ac:dyDescent="0.35">
      <c r="A995">
        <v>994</v>
      </c>
      <c r="B995">
        <v>79.315300543699294</v>
      </c>
      <c r="C995">
        <v>4.3153005436992942</v>
      </c>
      <c r="D995">
        <v>0</v>
      </c>
    </row>
    <row r="996" spans="1:4" x14ac:dyDescent="0.35">
      <c r="A996">
        <v>995</v>
      </c>
      <c r="B996">
        <v>70.601403684767163</v>
      </c>
      <c r="C996">
        <v>0</v>
      </c>
      <c r="D996">
        <v>4.3985963152328367</v>
      </c>
    </row>
    <row r="997" spans="1:4" x14ac:dyDescent="0.35">
      <c r="A997">
        <v>996</v>
      </c>
      <c r="B997">
        <v>77.948426423718573</v>
      </c>
      <c r="C997">
        <v>2.9484264237185727</v>
      </c>
      <c r="D997">
        <v>0</v>
      </c>
    </row>
    <row r="998" spans="1:4" x14ac:dyDescent="0.35">
      <c r="A998">
        <v>997</v>
      </c>
      <c r="B998">
        <v>72.912372508229296</v>
      </c>
      <c r="C998">
        <v>0</v>
      </c>
      <c r="D998">
        <v>2.0876274917707036</v>
      </c>
    </row>
    <row r="999" spans="1:4" x14ac:dyDescent="0.35">
      <c r="A999">
        <v>998</v>
      </c>
      <c r="B999">
        <v>62.103175677000365</v>
      </c>
      <c r="C999">
        <v>0</v>
      </c>
      <c r="D999">
        <v>12.896824322999635</v>
      </c>
    </row>
    <row r="1000" spans="1:4" x14ac:dyDescent="0.35">
      <c r="A1000">
        <v>999</v>
      </c>
      <c r="B1000">
        <v>66.491265901514595</v>
      </c>
      <c r="C1000">
        <v>0</v>
      </c>
      <c r="D1000">
        <v>8.5087340984854052</v>
      </c>
    </row>
    <row r="1001" spans="1:4" x14ac:dyDescent="0.35">
      <c r="A1001">
        <v>1000</v>
      </c>
      <c r="B1001">
        <v>70.455025984707532</v>
      </c>
      <c r="C1001">
        <v>0</v>
      </c>
      <c r="D1001">
        <v>4.5449740152924676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Return, Volatility, VaR &amp; CAPM</vt:lpstr>
      <vt:lpstr>Moving Average Convergence Dive</vt:lpstr>
      <vt:lpstr>Relative Strength Index</vt:lpstr>
      <vt:lpstr>Bollinger Bands </vt:lpstr>
      <vt:lpstr>Stochastic Oscillator</vt:lpstr>
      <vt:lpstr>European Option</vt:lpstr>
      <vt:lpstr>Black-Scholes Model</vt:lpstr>
      <vt:lpstr>Monte Carlo Simulation</vt:lpstr>
      <vt:lpstr>Simulation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2025-03-30T12:15:19Z</dcterms:created>
  <dcterms:modified xsi:type="dcterms:W3CDTF">2025-03-31T12:47:10Z</dcterms:modified>
</cp:coreProperties>
</file>